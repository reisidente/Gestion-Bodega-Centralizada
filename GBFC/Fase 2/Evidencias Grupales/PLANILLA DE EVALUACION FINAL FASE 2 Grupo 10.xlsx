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defaultThemeVersion="166925"/>
  <mc:AlternateContent xmlns:mc="http://schemas.openxmlformats.org/markup-compatibility/2006">
    <mc:Choice Requires="x15">
      <x15ac:absPath xmlns:x15ac="http://schemas.microsoft.com/office/spreadsheetml/2010/11/ac" url="E:\DUOC\Semestre I\Capstone\2025\"/>
    </mc:Choice>
  </mc:AlternateContent>
  <xr:revisionPtr revIDLastSave="0" documentId="13_ncr:1_{EB7C43BB-DD7C-4FFF-B01B-91B28B6A98E6}" xr6:coauthVersionLast="47" xr6:coauthVersionMax="47" xr10:uidLastSave="{00000000-0000-0000-0000-000000000000}"/>
  <bookViews>
    <workbookView xWindow="-120" yWindow="-120" windowWidth="24240" windowHeight="13020" activeTab="1" xr2:uid="{00000000-000D-0000-FFFF-FFFF00000000}"/>
  </bookViews>
  <sheets>
    <sheet name="RUBRICA" sheetId="12" r:id="rId1"/>
    <sheet name="EVALUACION1" sheetId="1" r:id="rId2"/>
    <sheet name="ESCALA_IEP" sheetId="2" state="hidden" r:id="rId3"/>
    <sheet name="ESCALA_PRESENTACION" sheetId="3" state="hidden" r:id="rId4"/>
    <sheet name="ESCALA_TRAB_EQUIP" sheetId="4" state="hidden" r:id="rId5"/>
    <sheet name="RELEVANCIA-PUNTAJE" sheetId="5" state="hidden" r:id="rId6"/>
  </sheets>
  <definedNames>
    <definedName name="CL">'RELEVANCIA-PUNTAJE'!$B$2</definedName>
    <definedName name="L">'RELEVANCIA-PUNTAJE'!$C$2</definedName>
    <definedName name="ML">'RELEVANCIA-PUNTAJE'!$D$2</definedName>
    <definedName name="MR">'RELEVANCIA-PUNTAJE'!$A$3</definedName>
    <definedName name="MR_CL">'RELEVANCIA-PUNTAJE'!$B$3</definedName>
    <definedName name="MR_L">'RELEVANCIA-PUNTAJE'!$C$3</definedName>
    <definedName name="MR_ML">'RELEVANCIA-PUNTAJE'!$D$3</definedName>
    <definedName name="MR_NL">'RELEVANCIA-PUNTAJE'!$E$3</definedName>
    <definedName name="MR_PL">'RELEVANCIA-PUNTAJE'!#REF!</definedName>
    <definedName name="MR_TL">'RELEVANCIA-PUNTAJE'!$B$3</definedName>
    <definedName name="NL">'RELEVANCIA-PUNTAJE'!$E$2</definedName>
    <definedName name="PL">'RELEVANCIA-PUNTAJE'!#REF!</definedName>
    <definedName name="PR">'RELEVANCIA-PUNTAJE'!$A$5</definedName>
    <definedName name="PR_ML">'RELEVANCIA-PUNTAJE'!$D$5</definedName>
    <definedName name="PR_NL">'RELEVANCIA-PUNTAJE'!$E$5</definedName>
    <definedName name="PR_PL">'RELEVANCIA-PUNTAJE'!#REF!</definedName>
    <definedName name="PR_TL">'RELEVANCIA-PUNTAJE'!$B$5</definedName>
    <definedName name="RE">'RELEVANCIA-PUNTAJE'!$A$4</definedName>
    <definedName name="RE_ML">'RELEVANCIA-PUNTAJE'!$D$4</definedName>
    <definedName name="RE_NL">'RELEVANCIA-PUNTAJE'!$E$4</definedName>
    <definedName name="RE_PL">'RELEVANCIA-PUNTAJE'!#REF!</definedName>
    <definedName name="RE_TL">'RELEVANCIA-PUNTAJE'!$B$4</definedName>
    <definedName name="TL">'RELEVANCIA-PUNTAJE'!$B$2</definedName>
  </definedNames>
  <calcPr calcId="191029"/>
</workbook>
</file>

<file path=xl/calcChain.xml><?xml version="1.0" encoding="utf-8"?>
<calcChain xmlns="http://schemas.openxmlformats.org/spreadsheetml/2006/main">
  <c r="G19" i="1" l="1"/>
  <c r="E19" i="1"/>
  <c r="G18" i="1"/>
  <c r="E18" i="1"/>
  <c r="G17" i="1"/>
  <c r="E17" i="1"/>
  <c r="G16" i="1"/>
  <c r="E16" i="1"/>
  <c r="G15" i="1"/>
  <c r="E15" i="1"/>
  <c r="G14" i="1"/>
  <c r="E14" i="1"/>
  <c r="G13" i="1"/>
  <c r="E13" i="1"/>
  <c r="B53" i="1"/>
  <c r="B42" i="1"/>
  <c r="B52" i="1"/>
  <c r="B41" i="1"/>
  <c r="B51" i="1"/>
  <c r="B40" i="1"/>
  <c r="J53" i="1"/>
  <c r="K53" i="1" s="1"/>
  <c r="H53" i="1"/>
  <c r="I53" i="1" s="1"/>
  <c r="F53" i="1"/>
  <c r="G53" i="1" s="1"/>
  <c r="D53" i="1"/>
  <c r="E53" i="1" s="1"/>
  <c r="J52" i="1"/>
  <c r="K52" i="1" s="1"/>
  <c r="H52" i="1"/>
  <c r="I52" i="1" s="1"/>
  <c r="F52" i="1"/>
  <c r="G52" i="1" s="1"/>
  <c r="D52" i="1"/>
  <c r="E52" i="1" s="1"/>
  <c r="J51" i="1"/>
  <c r="K51" i="1" s="1"/>
  <c r="H51" i="1"/>
  <c r="I51" i="1" s="1"/>
  <c r="F51" i="1"/>
  <c r="G51" i="1" s="1"/>
  <c r="D51" i="1"/>
  <c r="E51" i="1" s="1"/>
  <c r="J42" i="1"/>
  <c r="K42" i="1" s="1"/>
  <c r="H42" i="1"/>
  <c r="I42" i="1" s="1"/>
  <c r="F42" i="1"/>
  <c r="G42" i="1" s="1"/>
  <c r="D42" i="1"/>
  <c r="E42" i="1" s="1"/>
  <c r="J41" i="1"/>
  <c r="K41" i="1" s="1"/>
  <c r="H41" i="1"/>
  <c r="I41" i="1" s="1"/>
  <c r="F41" i="1"/>
  <c r="G41" i="1" s="1"/>
  <c r="D41" i="1"/>
  <c r="E41" i="1" s="1"/>
  <c r="J40" i="1"/>
  <c r="K40" i="1" s="1"/>
  <c r="H40" i="1"/>
  <c r="I40" i="1" s="1"/>
  <c r="F40" i="1"/>
  <c r="G40" i="1" s="1"/>
  <c r="D40" i="1"/>
  <c r="E40" i="1" s="1"/>
  <c r="B28" i="1"/>
  <c r="E28" i="1"/>
  <c r="G28" i="1"/>
  <c r="H28" i="1"/>
  <c r="I28" i="1" s="1"/>
  <c r="J28" i="1"/>
  <c r="K28" i="1" s="1"/>
  <c r="B18" i="1"/>
  <c r="B30" i="1"/>
  <c r="G54" i="1" l="1"/>
  <c r="K54" i="1"/>
  <c r="K43" i="1"/>
  <c r="I54" i="1"/>
  <c r="G43" i="1"/>
  <c r="I43" i="1"/>
  <c r="E54" i="1"/>
  <c r="E43" i="1"/>
  <c r="B29" i="1"/>
  <c r="B14" i="1"/>
  <c r="B15" i="1"/>
  <c r="B16" i="1"/>
  <c r="B17" i="1"/>
  <c r="B19" i="1"/>
  <c r="B13" i="1"/>
  <c r="C47" i="1"/>
  <c r="C36" i="1"/>
  <c r="J29" i="1"/>
  <c r="K29" i="1" s="1"/>
  <c r="H29" i="1"/>
  <c r="I29" i="1" s="1"/>
  <c r="G29" i="1"/>
  <c r="E29" i="1"/>
  <c r="J30" i="1"/>
  <c r="K30" i="1" s="1"/>
  <c r="H30" i="1"/>
  <c r="I30" i="1" s="1"/>
  <c r="G30" i="1"/>
  <c r="E30" i="1"/>
  <c r="C43" i="1" l="1"/>
  <c r="C44" i="1" s="1"/>
  <c r="C54" i="1"/>
  <c r="C55" i="1" s="1"/>
  <c r="E31" i="1"/>
  <c r="G31" i="1"/>
  <c r="I31" i="1"/>
  <c r="K31" i="1"/>
  <c r="H19" i="1" l="1"/>
  <c r="I19" i="1" s="1"/>
  <c r="J19" i="1"/>
  <c r="K19" i="1" s="1"/>
  <c r="H16" i="1"/>
  <c r="I16" i="1" s="1"/>
  <c r="J16" i="1"/>
  <c r="K16" i="1" s="1"/>
  <c r="C24" i="1"/>
  <c r="J18" i="1"/>
  <c r="K18" i="1" s="1"/>
  <c r="H18" i="1"/>
  <c r="I18" i="1" s="1"/>
  <c r="J17" i="1"/>
  <c r="K17" i="1" s="1"/>
  <c r="H17" i="1"/>
  <c r="I17" i="1" s="1"/>
  <c r="J15" i="1"/>
  <c r="K15" i="1" s="1"/>
  <c r="H15" i="1"/>
  <c r="I15" i="1" s="1"/>
  <c r="J14" i="1"/>
  <c r="H14" i="1"/>
  <c r="I14" i="1" s="1"/>
  <c r="J13" i="1"/>
  <c r="K13" i="1" s="1"/>
  <c r="H13" i="1"/>
  <c r="I13" i="1" s="1"/>
  <c r="D5" i="1" l="1"/>
  <c r="D6" i="1"/>
  <c r="E20" i="1"/>
  <c r="G20" i="1"/>
  <c r="I20" i="1"/>
  <c r="K14" i="1"/>
  <c r="C31" i="1" l="1"/>
  <c r="C32" i="1" s="1"/>
  <c r="K20" i="1"/>
  <c r="C20" i="1" s="1"/>
  <c r="C21" i="1" s="1"/>
  <c r="D4" i="1" l="1"/>
  <c r="C6" i="1"/>
  <c r="E6" i="1" s="1"/>
  <c r="C5" i="1"/>
  <c r="E5" i="1" s="1"/>
  <c r="C4" i="1"/>
  <c r="E4" i="1" l="1"/>
</calcChain>
</file>

<file path=xl/sharedStrings.xml><?xml version="1.0" encoding="utf-8"?>
<sst xmlns="http://schemas.openxmlformats.org/spreadsheetml/2006/main" count="147" uniqueCount="79">
  <si>
    <t>PUNTOS</t>
  </si>
  <si>
    <t>NOTA</t>
  </si>
  <si>
    <t>INTEGRANTES</t>
  </si>
  <si>
    <t>Relevancia</t>
  </si>
  <si>
    <t>Puntaje</t>
  </si>
  <si>
    <t>Completamente logrado</t>
  </si>
  <si>
    <t>Logrado</t>
  </si>
  <si>
    <t>No logrado</t>
  </si>
  <si>
    <t>Muy Relevante</t>
  </si>
  <si>
    <t>GRUPAL</t>
  </si>
  <si>
    <t>Nivel de Logro</t>
  </si>
  <si>
    <t>NIVELES DE LOGRO Y PUNTAJES</t>
  </si>
  <si>
    <t>Aspectos a Evaluar</t>
  </si>
  <si>
    <t>Nota</t>
  </si>
  <si>
    <t>PUNTAJE</t>
  </si>
  <si>
    <t>INDIVIDUAL</t>
  </si>
  <si>
    <t>NOMBRE ALUMNO</t>
  </si>
  <si>
    <t>Capacidad de Trabajo en Equipo</t>
  </si>
  <si>
    <t>Indicador de Evaluación</t>
  </si>
  <si>
    <t>Categorías de Respuesta</t>
  </si>
  <si>
    <t>Ponderación del Indicador de Evaluación</t>
  </si>
  <si>
    <r>
      <t>Logrado</t>
    </r>
    <r>
      <rPr>
        <b/>
        <sz val="10"/>
        <color rgb="FFFFFFFF"/>
        <rFont val="Calibri"/>
        <family val="2"/>
      </rPr>
      <t xml:space="preserve">  (60%)</t>
    </r>
  </si>
  <si>
    <t xml:space="preserve">Logro incipiente </t>
  </si>
  <si>
    <t>El texto presenta de 1 a 5 errores de ortografía, redacción o en las citas y referencias del informe.</t>
  </si>
  <si>
    <t>El texto presenta de 6 a 10 errores de ortografía, redacción o en las citas y referencias del informe.</t>
  </si>
  <si>
    <t>El texto presenta más de 10 errores de ortografía, redacción o en las citas y referencias del informe.</t>
  </si>
  <si>
    <t>El texto cumple con las reglas ortografía y de redacción en todos sus apartados y utiliza correctamente todas las normas de citación y referencias.</t>
  </si>
  <si>
    <t>Logro Incipiente</t>
  </si>
  <si>
    <t>Logro incipiente</t>
  </si>
  <si>
    <r>
      <t>Completamente Logrado</t>
    </r>
    <r>
      <rPr>
        <b/>
        <sz val="10"/>
        <color rgb="FFFFFFFF"/>
        <rFont val="Calibri"/>
        <family val="2"/>
      </rPr>
      <t xml:space="preserve">  (100%)</t>
    </r>
  </si>
  <si>
    <t>1. Implementa una metodología que permite el logro de los objetivos propuestos, de acuerdo a los estándares de la disciplina.</t>
  </si>
  <si>
    <t xml:space="preserve">Describe la metodología utilizada de acuerdo a los estándares de la disciplina, alcanzando todos los objetivos propuestos para el proyecto. </t>
  </si>
  <si>
    <t xml:space="preserve">Describe la metodología utilizada de acuerdo a los estándares de la disciplina, pero cumple parcialmente los objetivos propuestos para el proyecto. </t>
  </si>
  <si>
    <t xml:space="preserve">Describe la metodología utilizada cumpliendo parcialmente con los estándares de la disciplina y con los objetivos propuestos para el proyecto. </t>
  </si>
  <si>
    <t xml:space="preserve">Describe la metodología utilizada sin cumplir los estándares de la disciplina ni los objetivos propuestos para el proyecto. </t>
  </si>
  <si>
    <t xml:space="preserve">6. Utiliza correctamente las reglas de redacción, ortografía (literal, puntual, acentual) y las normas para citas y referencias. </t>
  </si>
  <si>
    <t>Expone el tema utilizando un lenguaje técnico disciplinar al presentar la propuesta y responde evidenciando un manejo de la información la mayoría del tiempo.</t>
  </si>
  <si>
    <t>Expone el tema utilizando un lenguaje técnico disciplinar al presentar la propuesta y responde evidenciando un manejo de la información la mitad del tiempo.</t>
  </si>
  <si>
    <t>Expone el tema utilizando un lenguaje técnico disciplinar al presentar la propuesta y responde evidenciando un manejo de la información en menos de la mitad del tiempo.</t>
  </si>
  <si>
    <t>El estudiante realiza un excelente trabajo en equipo, fomentando un ambiente positivo, siendo participativo con su equipo en las sesiones presenciales de la asignatura y participando de manera equitativa en la presentación del caso</t>
  </si>
  <si>
    <t xml:space="preserve">El estudiante realiza un buen trabajo en equipo, fomentando un ambiente positivo, siendo participativo con su equipo en las sesiones presenciales de la asignatura, pero no demuestra una participación de manera equitativa en la presentación del caso </t>
  </si>
  <si>
    <t>El estudiante realiza un trabajo deficiente con el equipo, fomentando un ambiente positivo pero no demuestra ser participativo con su equipo en las sesiones presenciales de la asignatura o se ausenta constantemente y/o  no demuestra una participación de manera equitativa en la presentación del caso</t>
  </si>
  <si>
    <t>El estudiante realiza un mal trabajo con el equipo no fomentando un ambiente positivo, no demuestra ser participativo con su equipo en las sesiones presenciales de la asignatura o se ausenta constantemente y no demuestra una participación de manera equitativa en la presentación del caso</t>
  </si>
  <si>
    <t>10. Colaboración y trabajo en equipo *</t>
  </si>
  <si>
    <t>2. Genera evidencias que dan cuenta del cumplimiento del Proyecto CAPSTONE, en relación a documentación, programación y almacenamiento de datos, de acuerdo a lo planificado por el equipo y que cumpla con estándares de desarrollo de la industria</t>
  </si>
  <si>
    <t>Genera evidencias que dan cuenta del cumplimiento del Proyecto CAPSTONE, en relación a documentación, programación y almacenamiento de datos, de acuerdo a lo planificado por el equipo y que cumpla con estándares de desarrollo de la industria</t>
  </si>
  <si>
    <t>Genera evidencias que dan cuenta del cumplimiento del Proyecto CAPSTONE, en relación a documentación, programación y almacenamiento de datos, de acuerdo a lo planificado por el equipo y no cumplen con estándares de desarrollo de la industria</t>
  </si>
  <si>
    <t>Genera evidencias pero ellas no dan cuenta del cumplimiento del Proyecto CAPSTONE, en relación a documentación, programación y almacenamiento de datos, de acuerdo a lo planificado por el equipo, pero si cumple con estándares de desarrollo de la industria</t>
  </si>
  <si>
    <t>Genera evidencias pero ellas no dan cuenta del cumplimiento del Proyecto CAPSTONE, en relación a documentación, programación y almacenamiento de datos, de acuerdo a lo planificado por el equipo, y no cumplen con estándares de desarrollo de la industria</t>
  </si>
  <si>
    <t>3. Relaciona el Proyecto APT con sus intereses profesionales. *</t>
  </si>
  <si>
    <t xml:space="preserve">Menciona los intereses profesionales y explica con claridad cómo estos se ven reflejados en el proyecto. </t>
  </si>
  <si>
    <t>Menciona los intereses profesionales, pero no queda completamente clara su conexión con el proyecto.</t>
  </si>
  <si>
    <t xml:space="preserve">Menciona los intereses profesionales sin conectarlos con el proyecto. </t>
  </si>
  <si>
    <t>No menciona los intereses profesionales.</t>
  </si>
  <si>
    <t>4. Relaciona el Proyecto APT con las competencias del perfil de egreso de su Plan de Estudio.</t>
  </si>
  <si>
    <t xml:space="preserve">Describe una relación coherente entre el proyecto y el perfil de egreso del plan de estudio, especificando cómo debe utilizar distintas competencias para desarrollar su Proyecto APT. </t>
  </si>
  <si>
    <t>Describe una relación coherente entre el proyecto y el perfil de egreso del plan de estudio, pero no especifica cómo debe utilizar distintas competencias para desarrollar su Proyecto APT.</t>
  </si>
  <si>
    <t>Describe una relación que tiene elementos pero que no son coherentes entre el proyecto y el perfil de egreso del plan de estudio.</t>
  </si>
  <si>
    <t xml:space="preserve">Describe una relación sin coherencia entre el proyecto y el perfil de egreso del plan de estudio o no relaciona el proyecto con el perfil de egreso. </t>
  </si>
  <si>
    <t>5. Utiliza de manera precisa el lenguaje técnico en los entregables de acuerdo con lo requerido por la disciplina.</t>
  </si>
  <si>
    <t xml:space="preserve">Utiliza lenguaje técnico de su disciplina en todos los entregables de avance del proyecto. </t>
  </si>
  <si>
    <t>Utiliza lenguaje técnico de su disciplina en la mayoría de los entregables de avance del proyecto</t>
  </si>
  <si>
    <t>Utiliza lenguaje técnico de su disciplina en la menos de la mitad de los entregables de avance del proyecto</t>
  </si>
  <si>
    <t xml:space="preserve">No utiliza lenguaje técnico de su disciplina en los entregables de avance del proyecto. </t>
  </si>
  <si>
    <t>7. Entrega la documentación y evidencias requerida por la asignatura de acuerdo a la estrucutra y nombres solicitados, guardando todas las evidencias de avances en Git</t>
  </si>
  <si>
    <t>Entrega la documentación y evidencias requeridas por la asignatura de acuerdo a la estrucutra y nombres solicitados, guardando todas las evidencias de avances en Git</t>
  </si>
  <si>
    <t>Entrega la documentación y evidencias requeridas por la asignatura de acuerdo a la estrucutra y nombres solicitados, guardando algunas de las evidencias de avances en Git</t>
  </si>
  <si>
    <t>Entrega la documentación y evidencias requeridas por la asignatura sin una la estrucutra y nombres solicitados, guardando algunas de las evidencias de avances en Git</t>
  </si>
  <si>
    <t>No entrega a través de Git la documentación y evidencias de avance requeridas por la asignatura</t>
  </si>
  <si>
    <t>8. Expone el tema utilizando un lenguaje técnico disciplinar al presentar la propuesta y responde evidenciando un manejo de la información. *</t>
  </si>
  <si>
    <t>Expone el tema utilizando un lenguaje técnico disciplinar al presentar la propuesta y responde evidenciando un manejo de la información en todo momento</t>
  </si>
  <si>
    <t>9.-Generan evidencias claras dentro del repositorio  del aporte de cada uno de los integrantes del equipo que permitan identificar la equidad en el trabajo y la participación de cada estudiante.</t>
  </si>
  <si>
    <t>Generan evidencias dentro del repositorio  del proyecto del aporte de cada uno de los integrantes del equipo que permitan identificar la equidad en el trabajo y la participación de cada estudiante</t>
  </si>
  <si>
    <t>Generan evidencias dentro del repositorio  del proyecto del aporte de cada uno de los integrantes del equipo pero la evidencia no demuestra una equidad en la participación de cada estudiante</t>
  </si>
  <si>
    <t>Generan evidencias dentro del repositorio  del proyecto del aporte de cada uno de los integrantes del equipo pero la evidencia no demuestra la participación de algunos(s) participante(s) del equipo</t>
  </si>
  <si>
    <t>No generan evidencias dentro del repositorio  del proyecto del aporte de cada uno de los integrantes del equipo por lo que no se permite identificar la equidad en el trabajo y la participación de cada estudiante</t>
  </si>
  <si>
    <t xml:space="preserve">OLIVARES MELGAREJO BASTIAN ALEJANDRO </t>
  </si>
  <si>
    <t>X</t>
  </si>
  <si>
    <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</si>
</sst>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8">
    <font>
      <sz val="11"/>
      <color rgb="FF000000"/>
      <name val="Calibri"/>
    </font>
    <font>
      <b/>
      <sz val="11"/>
      <color rgb="FF000000"/>
      <name val="Calibri"/>
    </font>
    <font>
      <sz val="11"/>
      <name val="Calibri"/>
    </font>
    <font>
      <sz val="20"/>
      <color rgb="FF000000"/>
      <name val="Calibri"/>
    </font>
    <font>
      <b/>
      <sz val="14"/>
      <color rgb="FF000000"/>
      <name val="Calibri"/>
    </font>
    <font>
      <b/>
      <sz val="10"/>
      <color rgb="FF000000"/>
      <name val="Calibri"/>
    </font>
    <font>
      <sz val="9"/>
      <color rgb="FF000000"/>
      <name val="Calibri"/>
    </font>
    <font>
      <sz val="10"/>
      <color rgb="FF000000"/>
      <name val="Calibri"/>
    </font>
    <font>
      <sz val="14"/>
      <color rgb="FF000000"/>
      <name val="Calibri"/>
    </font>
    <font>
      <sz val="16"/>
      <color rgb="FF000000"/>
      <name val="Calibri"/>
    </font>
    <font>
      <b/>
      <sz val="10"/>
      <color rgb="FFFFFFFF"/>
      <name val="Calibri"/>
      <family val="2"/>
    </font>
    <font>
      <b/>
      <sz val="10"/>
      <color rgb="FF000000"/>
      <name val="Calibri"/>
      <family val="2"/>
    </font>
    <font>
      <b/>
      <sz val="11"/>
      <color rgb="FFFFFFFF"/>
      <name val="Calibri"/>
      <family val="2"/>
    </font>
    <font>
      <sz val="10"/>
      <color rgb="FF000000"/>
      <name val="Calibri"/>
      <family val="2"/>
    </font>
    <font>
      <sz val="11"/>
      <color rgb="FF000000"/>
      <name val="Calibri"/>
      <family val="2"/>
    </font>
    <font>
      <b/>
      <sz val="11"/>
      <color rgb="FF000000"/>
      <name val="Calibri"/>
      <family val="2"/>
    </font>
    <font>
      <sz val="10"/>
      <color theme="1"/>
      <name val="Calibri"/>
      <family val="2"/>
    </font>
    <font>
      <sz val="10"/>
      <color theme="1"/>
      <name val="Helvetica"/>
    </font>
  </fonts>
  <fills count="10">
    <fill>
      <patternFill patternType="none"/>
    </fill>
    <fill>
      <patternFill patternType="gray125"/>
    </fill>
    <fill>
      <patternFill patternType="solid">
        <fgColor rgb="FFECECEC"/>
        <bgColor rgb="FFECECEC"/>
      </patternFill>
    </fill>
    <fill>
      <patternFill patternType="solid">
        <fgColor rgb="FFDEEAF6"/>
        <bgColor rgb="FFDEEAF6"/>
      </patternFill>
    </fill>
    <fill>
      <patternFill patternType="solid">
        <fgColor rgb="FFD9D9D9"/>
        <bgColor rgb="FFD9D9D9"/>
      </patternFill>
    </fill>
    <fill>
      <patternFill patternType="solid">
        <fgColor rgb="FFFEF2CB"/>
        <bgColor rgb="FFFEF2CB"/>
      </patternFill>
    </fill>
    <fill>
      <patternFill patternType="solid">
        <fgColor rgb="FFD8D8D8"/>
        <bgColor rgb="FFD8D8D8"/>
      </patternFill>
    </fill>
    <fill>
      <patternFill patternType="solid">
        <fgColor rgb="FFE2EFD9"/>
        <bgColor rgb="FFE2EFD9"/>
      </patternFill>
    </fill>
    <fill>
      <patternFill patternType="solid">
        <fgColor rgb="FF262626"/>
        <bgColor indexed="64"/>
      </patternFill>
    </fill>
    <fill>
      <patternFill patternType="solid">
        <fgColor rgb="FF92D050"/>
        <bgColor indexed="64"/>
      </patternFill>
    </fill>
  </fills>
  <borders count="30">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style="medium">
        <color rgb="FF000000"/>
      </right>
      <top/>
      <bottom style="medium">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style="medium">
        <color rgb="FF000000"/>
      </right>
      <top/>
      <bottom style="medium">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medium">
        <color rgb="FF7F7F7F"/>
      </left>
      <right style="medium">
        <color rgb="FF7F7F7F"/>
      </right>
      <top/>
      <bottom style="medium">
        <color rgb="FF7F7F7F"/>
      </bottom>
      <diagonal/>
    </border>
    <border>
      <left/>
      <right style="medium">
        <color rgb="FF7F7F7F"/>
      </right>
      <top/>
      <bottom style="medium">
        <color rgb="FF7F7F7F"/>
      </bottom>
      <diagonal/>
    </border>
    <border>
      <left style="thin">
        <color indexed="64"/>
      </left>
      <right style="thin">
        <color indexed="64"/>
      </right>
      <top style="thin">
        <color indexed="64"/>
      </top>
      <bottom style="thin">
        <color indexed="64"/>
      </bottom>
      <diagonal/>
    </border>
    <border>
      <left style="thin">
        <color rgb="FF000000"/>
      </left>
      <right/>
      <top/>
      <bottom/>
      <diagonal/>
    </border>
    <border>
      <left style="medium">
        <color rgb="FF7F7F7F"/>
      </left>
      <right style="medium">
        <color rgb="FF7F7F7F"/>
      </right>
      <top style="medium">
        <color rgb="FF7F7F7F"/>
      </top>
      <bottom/>
      <diagonal/>
    </border>
    <border>
      <left/>
      <right style="medium">
        <color rgb="FF7F7F7F"/>
      </right>
      <top/>
      <bottom/>
      <diagonal/>
    </border>
    <border>
      <left/>
      <right/>
      <top/>
      <bottom style="medium">
        <color rgb="FF7F7F7F"/>
      </bottom>
      <diagonal/>
    </border>
  </borders>
  <cellStyleXfs count="1">
    <xf numFmtId="0" fontId="0" fillId="0" borderId="0"/>
  </cellStyleXfs>
  <cellXfs count="74">
    <xf numFmtId="0" fontId="0" fillId="0" borderId="0" xfId="0"/>
    <xf numFmtId="164" fontId="0" fillId="0" borderId="0" xfId="0" applyNumberFormat="1"/>
    <xf numFmtId="9" fontId="0" fillId="2" borderId="1" xfId="0" applyNumberFormat="1" applyFill="1" applyBorder="1" applyAlignment="1">
      <alignment horizontal="center" vertical="center" wrapText="1"/>
    </xf>
    <xf numFmtId="0" fontId="1" fillId="0" borderId="0" xfId="0" applyFont="1"/>
    <xf numFmtId="0" fontId="0" fillId="0" borderId="0" xfId="0" applyAlignment="1">
      <alignment horizontal="right" vertical="center"/>
    </xf>
    <xf numFmtId="164" fontId="0" fillId="2" borderId="1" xfId="0" applyNumberFormat="1" applyFill="1" applyBorder="1" applyAlignment="1">
      <alignment horizontal="center"/>
    </xf>
    <xf numFmtId="164" fontId="0" fillId="3" borderId="1" xfId="0" applyNumberFormat="1" applyFill="1" applyBorder="1" applyAlignment="1">
      <alignment horizontal="center"/>
    </xf>
    <xf numFmtId="0" fontId="1" fillId="4" borderId="6" xfId="0" applyFont="1" applyFill="1" applyBorder="1" applyAlignment="1">
      <alignment vertical="center" wrapText="1"/>
    </xf>
    <xf numFmtId="0" fontId="1" fillId="4" borderId="7" xfId="0" applyFont="1" applyFill="1" applyBorder="1" applyAlignment="1">
      <alignment vertical="center" wrapText="1"/>
    </xf>
    <xf numFmtId="0" fontId="1" fillId="4" borderId="8" xfId="0" applyFont="1" applyFill="1" applyBorder="1" applyAlignment="1">
      <alignment vertical="center" wrapText="1"/>
    </xf>
    <xf numFmtId="0" fontId="1" fillId="4" borderId="10" xfId="0" applyFont="1" applyFill="1" applyBorder="1" applyAlignment="1">
      <alignment vertical="center" wrapText="1"/>
    </xf>
    <xf numFmtId="0" fontId="1" fillId="4" borderId="11" xfId="0" applyFont="1" applyFill="1" applyBorder="1" applyAlignment="1">
      <alignment vertical="center" wrapText="1"/>
    </xf>
    <xf numFmtId="0" fontId="1" fillId="4" borderId="12" xfId="0" applyFont="1" applyFill="1" applyBorder="1" applyAlignment="1">
      <alignment vertical="center" wrapText="1"/>
    </xf>
    <xf numFmtId="0" fontId="1" fillId="0" borderId="9" xfId="0" applyFont="1" applyBorder="1" applyAlignment="1">
      <alignment horizontal="left" vertical="center" wrapText="1"/>
    </xf>
    <xf numFmtId="0" fontId="1" fillId="0" borderId="13" xfId="0" applyFont="1" applyBorder="1" applyAlignment="1">
      <alignment horizontal="left" vertical="center" wrapText="1"/>
    </xf>
    <xf numFmtId="0" fontId="4" fillId="4" borderId="1" xfId="0" applyFont="1" applyFill="1" applyBorder="1" applyAlignment="1">
      <alignment horizontal="center" vertical="center"/>
    </xf>
    <xf numFmtId="0" fontId="5" fillId="4" borderId="1" xfId="0" applyFont="1" applyFill="1" applyBorder="1" applyAlignment="1">
      <alignment horizontal="center" vertical="center"/>
    </xf>
    <xf numFmtId="0" fontId="7" fillId="0" borderId="1" xfId="0" applyFont="1" applyBorder="1" applyAlignment="1">
      <alignment horizontal="center" vertical="center"/>
    </xf>
    <xf numFmtId="0" fontId="6" fillId="0" borderId="1" xfId="0" applyFont="1" applyBorder="1" applyAlignment="1">
      <alignment horizontal="right" vertical="center" wrapText="1"/>
    </xf>
    <xf numFmtId="0" fontId="8" fillId="0" borderId="1" xfId="0" applyFont="1" applyBorder="1"/>
    <xf numFmtId="0" fontId="0" fillId="6" borderId="1" xfId="0" applyFill="1" applyBorder="1"/>
    <xf numFmtId="164" fontId="8" fillId="0" borderId="1" xfId="0" applyNumberFormat="1" applyFont="1" applyBorder="1"/>
    <xf numFmtId="0" fontId="1" fillId="0" borderId="1" xfId="0" applyFont="1" applyBorder="1" applyAlignment="1">
      <alignment horizontal="right" vertical="center" wrapText="1"/>
    </xf>
    <xf numFmtId="0" fontId="6" fillId="0" borderId="0" xfId="0" applyFont="1" applyAlignment="1">
      <alignment horizontal="right" vertical="center" wrapText="1"/>
    </xf>
    <xf numFmtId="164" fontId="8" fillId="0" borderId="0" xfId="0" applyNumberFormat="1" applyFont="1"/>
    <xf numFmtId="0" fontId="5" fillId="4" borderId="2" xfId="0" applyFont="1" applyFill="1" applyBorder="1" applyAlignment="1">
      <alignment horizontal="center" vertical="center"/>
    </xf>
    <xf numFmtId="0" fontId="13" fillId="0" borderId="23" xfId="0" applyFont="1" applyBorder="1" applyAlignment="1">
      <alignment horizontal="justify" vertical="center" wrapText="1"/>
    </xf>
    <xf numFmtId="0" fontId="13" fillId="0" borderId="24" xfId="0" applyFont="1" applyBorder="1" applyAlignment="1">
      <alignment horizontal="justify" vertical="center" wrapText="1"/>
    </xf>
    <xf numFmtId="0" fontId="14" fillId="0" borderId="4" xfId="0" applyFont="1" applyBorder="1" applyAlignment="1">
      <alignment horizontal="left"/>
    </xf>
    <xf numFmtId="0" fontId="7" fillId="0" borderId="15" xfId="0" applyFont="1" applyBorder="1" applyAlignment="1">
      <alignment horizontal="left" vertical="center"/>
    </xf>
    <xf numFmtId="0" fontId="6" fillId="0" borderId="3" xfId="0" applyFont="1" applyBorder="1" applyAlignment="1">
      <alignment horizontal="right" vertical="center" wrapText="1"/>
    </xf>
    <xf numFmtId="0" fontId="6" fillId="0" borderId="25" xfId="0" applyFont="1" applyBorder="1" applyAlignment="1">
      <alignment horizontal="left" vertical="center" wrapText="1"/>
    </xf>
    <xf numFmtId="0" fontId="15" fillId="4" borderId="11" xfId="0" applyFont="1" applyFill="1" applyBorder="1" applyAlignment="1">
      <alignment vertical="center" wrapText="1"/>
    </xf>
    <xf numFmtId="0" fontId="6" fillId="0" borderId="4" xfId="0" applyFont="1" applyBorder="1" applyAlignment="1">
      <alignment horizontal="right" vertical="center" wrapText="1"/>
    </xf>
    <xf numFmtId="0" fontId="8" fillId="0" borderId="2" xfId="0" applyFont="1" applyBorder="1"/>
    <xf numFmtId="0" fontId="10" fillId="8" borderId="25" xfId="0" applyFont="1" applyFill="1" applyBorder="1" applyAlignment="1">
      <alignment horizontal="center" vertical="center" wrapText="1"/>
    </xf>
    <xf numFmtId="0" fontId="12" fillId="8" borderId="25" xfId="0" applyFont="1" applyFill="1" applyBorder="1" applyAlignment="1">
      <alignment horizontal="center" vertical="center" wrapText="1"/>
    </xf>
    <xf numFmtId="9" fontId="10" fillId="8" borderId="25" xfId="0" applyNumberFormat="1" applyFont="1" applyFill="1" applyBorder="1" applyAlignment="1">
      <alignment horizontal="center" vertical="center" wrapText="1"/>
    </xf>
    <xf numFmtId="0" fontId="13" fillId="0" borderId="25" xfId="0" applyFont="1" applyBorder="1" applyAlignment="1">
      <alignment horizontal="justify" vertical="center" wrapText="1"/>
    </xf>
    <xf numFmtId="0" fontId="11" fillId="0" borderId="25" xfId="0" applyFont="1" applyBorder="1" applyAlignment="1">
      <alignment horizontal="center" vertical="center" wrapText="1"/>
    </xf>
    <xf numFmtId="0" fontId="14" fillId="2" borderId="1" xfId="0" applyFont="1" applyFill="1" applyBorder="1" applyAlignment="1">
      <alignment horizontal="center" vertical="center" wrapText="1"/>
    </xf>
    <xf numFmtId="9" fontId="14" fillId="2" borderId="1" xfId="0" applyNumberFormat="1" applyFont="1" applyFill="1" applyBorder="1" applyAlignment="1">
      <alignment horizontal="center" vertical="center" wrapText="1"/>
    </xf>
    <xf numFmtId="0" fontId="13" fillId="9" borderId="25" xfId="0" applyFont="1" applyFill="1" applyBorder="1" applyAlignment="1">
      <alignment horizontal="justify" vertical="center" wrapText="1"/>
    </xf>
    <xf numFmtId="0" fontId="13" fillId="9" borderId="27" xfId="0" applyFont="1" applyFill="1" applyBorder="1" applyAlignment="1">
      <alignment horizontal="justify" vertical="center" wrapText="1"/>
    </xf>
    <xf numFmtId="0" fontId="13" fillId="0" borderId="27" xfId="0" applyFont="1" applyBorder="1" applyAlignment="1">
      <alignment horizontal="justify" vertical="center" wrapText="1"/>
    </xf>
    <xf numFmtId="0" fontId="13" fillId="0" borderId="28" xfId="0" applyFont="1" applyBorder="1" applyAlignment="1">
      <alignment horizontal="justify" vertical="center" wrapText="1"/>
    </xf>
    <xf numFmtId="0" fontId="13" fillId="9" borderId="23" xfId="0" applyFont="1" applyFill="1" applyBorder="1" applyAlignment="1">
      <alignment horizontal="justify" vertical="center" wrapText="1"/>
    </xf>
    <xf numFmtId="0" fontId="13" fillId="0" borderId="29" xfId="0" applyFont="1" applyBorder="1" applyAlignment="1">
      <alignment horizontal="justify" vertical="center" wrapText="1"/>
    </xf>
    <xf numFmtId="0" fontId="16" fillId="9" borderId="25" xfId="0" applyFont="1" applyFill="1" applyBorder="1" applyAlignment="1">
      <alignment horizontal="justify" vertical="center" wrapText="1"/>
    </xf>
    <xf numFmtId="0" fontId="16" fillId="0" borderId="25" xfId="0" applyFont="1" applyBorder="1" applyAlignment="1">
      <alignment horizontal="justify" vertical="center" wrapText="1"/>
    </xf>
    <xf numFmtId="0" fontId="11" fillId="0" borderId="24" xfId="0" applyFont="1" applyBorder="1" applyAlignment="1">
      <alignment horizontal="center" vertical="center" wrapText="1"/>
    </xf>
    <xf numFmtId="0" fontId="17" fillId="0" borderId="1" xfId="0" applyFont="1" applyBorder="1" applyAlignment="1">
      <alignment wrapText="1"/>
    </xf>
    <xf numFmtId="0" fontId="10" fillId="8" borderId="25" xfId="0" applyFont="1" applyFill="1" applyBorder="1" applyAlignment="1">
      <alignment horizontal="center" vertical="center" wrapText="1"/>
    </xf>
    <xf numFmtId="0" fontId="12" fillId="8" borderId="25" xfId="0" applyFont="1" applyFill="1" applyBorder="1" applyAlignment="1">
      <alignment horizontal="center" vertical="center" wrapText="1"/>
    </xf>
    <xf numFmtId="0" fontId="0" fillId="3" borderId="2" xfId="0" applyFill="1" applyBorder="1" applyAlignment="1">
      <alignment horizontal="right" vertical="center"/>
    </xf>
    <xf numFmtId="0" fontId="2" fillId="0" borderId="3" xfId="0" applyFont="1" applyBorder="1"/>
    <xf numFmtId="0" fontId="5" fillId="4" borderId="2" xfId="0" applyFont="1" applyFill="1" applyBorder="1" applyAlignment="1">
      <alignment horizontal="center" vertical="center"/>
    </xf>
    <xf numFmtId="0" fontId="9" fillId="0" borderId="17" xfId="0" applyFont="1" applyBorder="1" applyAlignment="1">
      <alignment horizontal="left" vertical="center"/>
    </xf>
    <xf numFmtId="0" fontId="2" fillId="0" borderId="18" xfId="0" applyFont="1" applyBorder="1"/>
    <xf numFmtId="0" fontId="2" fillId="0" borderId="19" xfId="0" applyFont="1" applyBorder="1"/>
    <xf numFmtId="0" fontId="2" fillId="0" borderId="20" xfId="0" applyFont="1" applyBorder="1"/>
    <xf numFmtId="0" fontId="2" fillId="0" borderId="21" xfId="0" applyFont="1" applyBorder="1"/>
    <xf numFmtId="0" fontId="2" fillId="0" borderId="22" xfId="0" applyFont="1" applyBorder="1"/>
    <xf numFmtId="0" fontId="5" fillId="4" borderId="4" xfId="0" applyFont="1" applyFill="1" applyBorder="1" applyAlignment="1">
      <alignment horizontal="center" vertical="center"/>
    </xf>
    <xf numFmtId="0" fontId="2" fillId="0" borderId="15" xfId="0" applyFont="1" applyBorder="1"/>
    <xf numFmtId="0" fontId="0" fillId="7" borderId="2" xfId="0" applyFill="1" applyBorder="1" applyAlignment="1">
      <alignment horizontal="center" vertical="center" textRotation="255"/>
    </xf>
    <xf numFmtId="0" fontId="2" fillId="0" borderId="16" xfId="0" applyFont="1" applyBorder="1"/>
    <xf numFmtId="0" fontId="11" fillId="4" borderId="4" xfId="0" applyFont="1" applyFill="1" applyBorder="1" applyAlignment="1">
      <alignment horizontal="center" vertical="center"/>
    </xf>
    <xf numFmtId="0" fontId="2" fillId="0" borderId="14" xfId="0" applyFont="1" applyBorder="1"/>
    <xf numFmtId="9" fontId="0" fillId="3" borderId="2" xfId="0" applyNumberFormat="1" applyFill="1" applyBorder="1" applyAlignment="1">
      <alignment horizontal="center" vertical="center"/>
    </xf>
    <xf numFmtId="0" fontId="3" fillId="5" borderId="2" xfId="0" applyFont="1" applyFill="1" applyBorder="1" applyAlignment="1">
      <alignment horizontal="center" vertical="center" textRotation="255"/>
    </xf>
    <xf numFmtId="0" fontId="2" fillId="0" borderId="26" xfId="0" applyFont="1" applyBorder="1"/>
    <xf numFmtId="0" fontId="1" fillId="4" borderId="5" xfId="0" applyFont="1" applyFill="1" applyBorder="1" applyAlignment="1">
      <alignment horizontal="left" vertical="center" wrapText="1"/>
    </xf>
    <xf numFmtId="0" fontId="2" fillId="0" borderId="9" xfId="0" applyFont="1" applyBorder="1"/>
  </cellXfs>
  <cellStyles count="1">
    <cellStyle name="Normal" xfId="0" builtinId="0"/>
  </cellStyles>
  <dxfs count="2">
    <dxf>
      <font>
        <color rgb="FF9C0006"/>
      </font>
      <fill>
        <patternFill patternType="none"/>
      </fill>
    </dxf>
    <dxf>
      <font>
        <color rgb="FF9C0006"/>
      </font>
      <fill>
        <patternFill patternType="none"/>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396D1B-8A63-4A90-BA20-D34AC13A3962}">
  <dimension ref="A1:F13"/>
  <sheetViews>
    <sheetView topLeftCell="A5" zoomScale="80" zoomScaleNormal="80" workbookViewId="0">
      <selection activeCell="F11" sqref="F11"/>
    </sheetView>
  </sheetViews>
  <sheetFormatPr baseColWidth="10" defaultRowHeight="15"/>
  <cols>
    <col min="1" max="6" width="38.7109375" customWidth="1"/>
  </cols>
  <sheetData>
    <row r="1" spans="1:6">
      <c r="A1" s="52" t="s">
        <v>18</v>
      </c>
      <c r="B1" s="52" t="s">
        <v>19</v>
      </c>
      <c r="C1" s="52"/>
      <c r="D1" s="52"/>
      <c r="E1" s="52"/>
      <c r="F1" s="52" t="s">
        <v>20</v>
      </c>
    </row>
    <row r="2" spans="1:6">
      <c r="A2" s="52"/>
      <c r="B2" s="53" t="s">
        <v>29</v>
      </c>
      <c r="C2" s="53" t="s">
        <v>21</v>
      </c>
      <c r="D2" s="36" t="s">
        <v>22</v>
      </c>
      <c r="E2" s="35" t="s">
        <v>7</v>
      </c>
      <c r="F2" s="52"/>
    </row>
    <row r="3" spans="1:6">
      <c r="A3" s="52"/>
      <c r="B3" s="53"/>
      <c r="C3" s="53"/>
      <c r="D3" s="37">
        <v>-0.3</v>
      </c>
      <c r="E3" s="37">
        <v>0</v>
      </c>
      <c r="F3" s="52"/>
    </row>
    <row r="4" spans="1:6" ht="51">
      <c r="A4" s="38" t="s">
        <v>30</v>
      </c>
      <c r="B4" s="38" t="s">
        <v>31</v>
      </c>
      <c r="C4" s="38" t="s">
        <v>32</v>
      </c>
      <c r="D4" s="38" t="s">
        <v>33</v>
      </c>
      <c r="E4" s="38" t="s">
        <v>34</v>
      </c>
      <c r="F4" s="39">
        <v>10</v>
      </c>
    </row>
    <row r="5" spans="1:6" ht="76.5">
      <c r="A5" s="42" t="s">
        <v>44</v>
      </c>
      <c r="B5" s="38" t="s">
        <v>45</v>
      </c>
      <c r="C5" s="38" t="s">
        <v>46</v>
      </c>
      <c r="D5" s="38" t="s">
        <v>47</v>
      </c>
      <c r="E5" s="38" t="s">
        <v>48</v>
      </c>
      <c r="F5" s="39">
        <v>20</v>
      </c>
    </row>
    <row r="6" spans="1:6" ht="39" thickBot="1">
      <c r="A6" s="42" t="s">
        <v>49</v>
      </c>
      <c r="B6" s="38" t="s">
        <v>50</v>
      </c>
      <c r="C6" s="38" t="s">
        <v>51</v>
      </c>
      <c r="D6" s="38" t="s">
        <v>52</v>
      </c>
      <c r="E6" s="38" t="s">
        <v>53</v>
      </c>
      <c r="F6" s="39">
        <v>5</v>
      </c>
    </row>
    <row r="7" spans="1:6" ht="63.75">
      <c r="A7" s="43" t="s">
        <v>54</v>
      </c>
      <c r="B7" s="44" t="s">
        <v>55</v>
      </c>
      <c r="C7" s="44" t="s">
        <v>56</v>
      </c>
      <c r="D7" s="44" t="s">
        <v>57</v>
      </c>
      <c r="E7" s="45" t="s">
        <v>58</v>
      </c>
      <c r="F7" s="39">
        <v>5</v>
      </c>
    </row>
    <row r="8" spans="1:6" ht="38.25">
      <c r="A8" s="42" t="s">
        <v>59</v>
      </c>
      <c r="B8" s="38" t="s">
        <v>60</v>
      </c>
      <c r="C8" s="38" t="s">
        <v>61</v>
      </c>
      <c r="D8" s="38" t="s">
        <v>62</v>
      </c>
      <c r="E8" s="38" t="s">
        <v>63</v>
      </c>
      <c r="F8" s="39">
        <v>5</v>
      </c>
    </row>
    <row r="9" spans="1:6" ht="51">
      <c r="A9" s="42" t="s">
        <v>35</v>
      </c>
      <c r="B9" s="38" t="s">
        <v>26</v>
      </c>
      <c r="C9" s="38" t="s">
        <v>23</v>
      </c>
      <c r="D9" s="38" t="s">
        <v>24</v>
      </c>
      <c r="E9" s="38" t="s">
        <v>25</v>
      </c>
      <c r="F9" s="39">
        <v>5</v>
      </c>
    </row>
    <row r="10" spans="1:6" ht="51">
      <c r="A10" s="42" t="s">
        <v>64</v>
      </c>
      <c r="B10" s="38" t="s">
        <v>65</v>
      </c>
      <c r="C10" s="38" t="s">
        <v>66</v>
      </c>
      <c r="D10" s="38" t="s">
        <v>67</v>
      </c>
      <c r="E10" s="38" t="s">
        <v>68</v>
      </c>
      <c r="F10" s="39">
        <v>15</v>
      </c>
    </row>
    <row r="11" spans="1:6" ht="51.75" thickBot="1">
      <c r="A11" s="46" t="s">
        <v>69</v>
      </c>
      <c r="B11" s="27" t="s">
        <v>70</v>
      </c>
      <c r="C11" s="27" t="s">
        <v>36</v>
      </c>
      <c r="D11" s="27" t="s">
        <v>37</v>
      </c>
      <c r="E11" s="47" t="s">
        <v>38</v>
      </c>
      <c r="F11" s="39">
        <v>10</v>
      </c>
    </row>
    <row r="12" spans="1:6" ht="64.5" thickBot="1">
      <c r="A12" s="48" t="s">
        <v>71</v>
      </c>
      <c r="B12" s="49" t="s">
        <v>72</v>
      </c>
      <c r="C12" s="49" t="s">
        <v>73</v>
      </c>
      <c r="D12" s="49" t="s">
        <v>74</v>
      </c>
      <c r="E12" s="49" t="s">
        <v>75</v>
      </c>
      <c r="F12" s="50">
        <v>15</v>
      </c>
    </row>
    <row r="13" spans="1:6" ht="90" thickBot="1">
      <c r="A13" s="26" t="s">
        <v>43</v>
      </c>
      <c r="B13" s="27" t="s">
        <v>39</v>
      </c>
      <c r="C13" s="27" t="s">
        <v>40</v>
      </c>
      <c r="D13" s="27" t="s">
        <v>41</v>
      </c>
      <c r="E13" s="27" t="s">
        <v>42</v>
      </c>
      <c r="F13" s="39">
        <v>10</v>
      </c>
    </row>
  </sheetData>
  <mergeCells count="5">
    <mergeCell ref="A1:A3"/>
    <mergeCell ref="B1:E1"/>
    <mergeCell ref="F1:F3"/>
    <mergeCell ref="B2:B3"/>
    <mergeCell ref="C2:C3"/>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K926"/>
  <sheetViews>
    <sheetView tabSelected="1" topLeftCell="B1" zoomScale="120" zoomScaleNormal="120" workbookViewId="0">
      <selection activeCell="D1" sqref="D1"/>
    </sheetView>
  </sheetViews>
  <sheetFormatPr baseColWidth="10" defaultColWidth="14.42578125" defaultRowHeight="15" customHeight="1" outlineLevelRow="1"/>
  <cols>
    <col min="1" max="1" width="10.7109375" customWidth="1"/>
    <col min="2" max="2" width="66.85546875" customWidth="1"/>
    <col min="3" max="3" width="22" bestFit="1" customWidth="1"/>
    <col min="4" max="4" width="11.28515625" customWidth="1"/>
    <col min="5" max="7" width="11.7109375" customWidth="1"/>
    <col min="8" max="8" width="7.7109375" customWidth="1"/>
    <col min="9" max="9" width="11.7109375" customWidth="1"/>
    <col min="10" max="10" width="7.7109375" customWidth="1"/>
    <col min="11" max="11" width="11.7109375" customWidth="1"/>
    <col min="12" max="24" width="10.7109375" customWidth="1"/>
  </cols>
  <sheetData>
    <row r="2" spans="1:11">
      <c r="C2" s="2">
        <v>0.75</v>
      </c>
      <c r="D2" s="2">
        <v>0.25</v>
      </c>
      <c r="E2" s="69">
        <v>1</v>
      </c>
    </row>
    <row r="3" spans="1:11" ht="30">
      <c r="B3" s="3" t="s">
        <v>2</v>
      </c>
      <c r="C3" s="40" t="s">
        <v>9</v>
      </c>
      <c r="D3" s="41" t="s">
        <v>15</v>
      </c>
      <c r="E3" s="55"/>
    </row>
    <row r="4" spans="1:11">
      <c r="A4" s="4">
        <v>1</v>
      </c>
      <c r="B4" s="51" t="s">
        <v>76</v>
      </c>
      <c r="C4" s="5">
        <f>EVALUACION1!$C$21</f>
        <v>4.2</v>
      </c>
      <c r="D4" s="5">
        <f>$C$32</f>
        <v>4</v>
      </c>
      <c r="E4" s="6">
        <f>C4*C$2+D4*D$2</f>
        <v>4.1500000000000004</v>
      </c>
      <c r="G4" s="1"/>
    </row>
    <row r="5" spans="1:11">
      <c r="A5" s="4">
        <v>2</v>
      </c>
      <c r="B5" s="28"/>
      <c r="C5" s="5">
        <f>EVALUACION1!$C$21</f>
        <v>4.2</v>
      </c>
      <c r="D5" s="5">
        <f>C44</f>
        <v>7</v>
      </c>
      <c r="E5" s="6">
        <f t="shared" ref="E5:E6" si="0">C5*C$2+D5*D$2</f>
        <v>4.9000000000000004</v>
      </c>
      <c r="G5" s="1"/>
    </row>
    <row r="6" spans="1:11">
      <c r="A6" s="4">
        <v>3</v>
      </c>
      <c r="B6" s="28"/>
      <c r="C6" s="5">
        <f>EVALUACION1!$C$21</f>
        <v>4.2</v>
      </c>
      <c r="D6" s="5">
        <f>C55</f>
        <v>7</v>
      </c>
      <c r="E6" s="6">
        <f t="shared" si="0"/>
        <v>4.9000000000000004</v>
      </c>
      <c r="G6" s="1"/>
    </row>
    <row r="11" spans="1:11" ht="18.75" outlineLevel="1">
      <c r="A11" s="70" t="s">
        <v>9</v>
      </c>
      <c r="B11" s="15"/>
      <c r="C11" s="56" t="s">
        <v>10</v>
      </c>
      <c r="D11" s="63" t="s">
        <v>11</v>
      </c>
      <c r="E11" s="68"/>
      <c r="F11" s="68"/>
      <c r="G11" s="68"/>
      <c r="H11" s="68"/>
      <c r="I11" s="68"/>
      <c r="J11" s="68"/>
      <c r="K11" s="64"/>
    </row>
    <row r="12" spans="1:11" outlineLevel="1">
      <c r="A12" s="66"/>
      <c r="B12" s="25" t="s">
        <v>12</v>
      </c>
      <c r="C12" s="55"/>
      <c r="D12" s="63" t="s">
        <v>5</v>
      </c>
      <c r="E12" s="64"/>
      <c r="F12" s="63" t="s">
        <v>6</v>
      </c>
      <c r="G12" s="64"/>
      <c r="H12" s="67" t="s">
        <v>27</v>
      </c>
      <c r="I12" s="64"/>
      <c r="J12" s="63" t="s">
        <v>7</v>
      </c>
      <c r="K12" s="64"/>
    </row>
    <row r="13" spans="1:11" ht="24" outlineLevel="1">
      <c r="A13" s="71"/>
      <c r="B13" s="31" t="str">
        <f>RUBRICA!A4</f>
        <v>1. Implementa una metodología que permite el logro de los objetivos propuestos, de acuerdo a los estándares de la disciplina.</v>
      </c>
      <c r="C13" s="29" t="s">
        <v>5</v>
      </c>
      <c r="D13" s="17" t="s">
        <v>78</v>
      </c>
      <c r="E13" s="17" t="str">
        <f>IF(D13="X",100*0.1,"")</f>
        <v/>
      </c>
      <c r="F13" s="17" t="s">
        <v>77</v>
      </c>
      <c r="G13" s="17">
        <f>IF(F13="X",60*0.1,"")</f>
        <v>6</v>
      </c>
      <c r="H13" s="17" t="str">
        <f t="shared" ref="H13:H16" si="1">IF($C13=ML,"X","")</f>
        <v/>
      </c>
      <c r="I13" s="17" t="str">
        <f>IF(H13="X",30*0.1,"")</f>
        <v/>
      </c>
      <c r="J13" s="17" t="str">
        <f t="shared" ref="J13:J16" si="2">IF($C13=NL,"X","")</f>
        <v/>
      </c>
      <c r="K13" s="17" t="str">
        <f t="shared" ref="K13:K16" si="3">IF($J13="X",0,"")</f>
        <v/>
      </c>
    </row>
    <row r="14" spans="1:11" ht="48" outlineLevel="1">
      <c r="A14" s="71"/>
      <c r="B14" s="31" t="str">
        <f>RUBRICA!A5</f>
        <v>2. Genera evidencias que dan cuenta del cumplimiento del Proyecto CAPSTONE, en relación a documentación, programación y almacenamiento de datos, de acuerdo a lo planificado por el equipo y que cumpla con estándares de desarrollo de la industria</v>
      </c>
      <c r="C14" s="29" t="s">
        <v>5</v>
      </c>
      <c r="D14" s="17"/>
      <c r="E14" s="17" t="str">
        <f>IF(D14="X",100*0.2,"")</f>
        <v/>
      </c>
      <c r="F14" s="17" t="s">
        <v>77</v>
      </c>
      <c r="G14" s="17">
        <f>IF(F14="X",60*0.2,"")</f>
        <v>12</v>
      </c>
      <c r="H14" s="17" t="str">
        <f t="shared" si="1"/>
        <v/>
      </c>
      <c r="I14" s="17" t="str">
        <f>IF(H14="X",30*0.2,"")</f>
        <v/>
      </c>
      <c r="J14" s="17" t="str">
        <f t="shared" si="2"/>
        <v/>
      </c>
      <c r="K14" s="17" t="str">
        <f t="shared" si="3"/>
        <v/>
      </c>
    </row>
    <row r="15" spans="1:11" ht="24" outlineLevel="1">
      <c r="A15" s="71"/>
      <c r="B15" s="31" t="str">
        <f>RUBRICA!A7</f>
        <v>4. Relaciona el Proyecto APT con las competencias del perfil de egreso de su Plan de Estudio.</v>
      </c>
      <c r="C15" s="29" t="s">
        <v>5</v>
      </c>
      <c r="D15" s="17" t="s">
        <v>77</v>
      </c>
      <c r="E15" s="17">
        <f>IF(D15="X",100*0.05,"")</f>
        <v>5</v>
      </c>
      <c r="F15" s="17"/>
      <c r="G15" s="17" t="str">
        <f>IF(F15="X",60*0.05,"")</f>
        <v/>
      </c>
      <c r="H15" s="17" t="str">
        <f t="shared" si="1"/>
        <v/>
      </c>
      <c r="I15" s="17" t="str">
        <f>IF(H15="X",30*0.05,"")</f>
        <v/>
      </c>
      <c r="J15" s="17" t="str">
        <f t="shared" si="2"/>
        <v/>
      </c>
      <c r="K15" s="17" t="str">
        <f t="shared" si="3"/>
        <v/>
      </c>
    </row>
    <row r="16" spans="1:11" ht="24" outlineLevel="1">
      <c r="A16" s="71"/>
      <c r="B16" s="31" t="str">
        <f>RUBRICA!A8</f>
        <v>5. Utiliza de manera precisa el lenguaje técnico en los entregables de acuerdo con lo requerido por la disciplina.</v>
      </c>
      <c r="C16" s="29" t="s">
        <v>5</v>
      </c>
      <c r="D16" s="17"/>
      <c r="E16" s="17" t="str">
        <f>IF(D16="X",100*0.05,"")</f>
        <v/>
      </c>
      <c r="F16" s="17" t="s">
        <v>77</v>
      </c>
      <c r="G16" s="17">
        <f>IF(F16="X",60*0.05,"")</f>
        <v>3</v>
      </c>
      <c r="H16" s="17" t="str">
        <f t="shared" si="1"/>
        <v/>
      </c>
      <c r="I16" s="17" t="str">
        <f>IF(H16="X",30*0.05,"")</f>
        <v/>
      </c>
      <c r="J16" s="17" t="str">
        <f t="shared" si="2"/>
        <v/>
      </c>
      <c r="K16" s="17" t="str">
        <f t="shared" si="3"/>
        <v/>
      </c>
    </row>
    <row r="17" spans="1:11" ht="24" outlineLevel="1">
      <c r="A17" s="71"/>
      <c r="B17" s="31" t="str">
        <f>RUBRICA!A9</f>
        <v xml:space="preserve">6. Utiliza correctamente las reglas de redacción, ortografía (literal, puntual, acentual) y las normas para citas y referencias. </v>
      </c>
      <c r="C17" s="29" t="s">
        <v>5</v>
      </c>
      <c r="D17" s="17"/>
      <c r="E17" s="17" t="str">
        <f>IF(D17="X",100*0.05,"")</f>
        <v/>
      </c>
      <c r="F17" s="17" t="s">
        <v>77</v>
      </c>
      <c r="G17" s="17">
        <f>IF(F17="X",60*0.05,"")</f>
        <v>3</v>
      </c>
      <c r="H17" s="17" t="str">
        <f>IF($C17=ML,"X","")</f>
        <v/>
      </c>
      <c r="I17" s="17" t="str">
        <f>IF(H17="X",30*0.05,"")</f>
        <v/>
      </c>
      <c r="J17" s="17" t="str">
        <f>IF($C17=NL,"X","")</f>
        <v/>
      </c>
      <c r="K17" s="17" t="str">
        <f t="shared" ref="K17:K19" si="4">IF($J17="X",0,"")</f>
        <v/>
      </c>
    </row>
    <row r="18" spans="1:11" ht="36" outlineLevel="1">
      <c r="A18" s="71"/>
      <c r="B18" s="31" t="str">
        <f>RUBRICA!A10</f>
        <v>7. Entrega la documentación y evidencias requerida por la asignatura de acuerdo a la estrucutra y nombres solicitados, guardando todas las evidencias de avances en Git</v>
      </c>
      <c r="C18" s="29" t="s">
        <v>5</v>
      </c>
      <c r="D18" s="17"/>
      <c r="E18" s="17" t="str">
        <f>IF(D18="X",100*0.15,"")</f>
        <v/>
      </c>
      <c r="F18" s="17" t="s">
        <v>77</v>
      </c>
      <c r="G18" s="17">
        <f>IF(F18="X",60*0.15,"")</f>
        <v>9</v>
      </c>
      <c r="H18" s="17" t="str">
        <f>IF($C18=ML,"X","")</f>
        <v/>
      </c>
      <c r="I18" s="17" t="str">
        <f>IF(H18="X",30*0.15,"")</f>
        <v/>
      </c>
      <c r="J18" s="17" t="str">
        <f>IF($C18=NL,"X","")</f>
        <v/>
      </c>
      <c r="K18" s="17" t="str">
        <f t="shared" si="4"/>
        <v/>
      </c>
    </row>
    <row r="19" spans="1:11" ht="22.9" customHeight="1" outlineLevel="1">
      <c r="A19" s="71"/>
      <c r="B19" s="31" t="str">
        <f>RUBRICA!A12</f>
        <v>9.-Generan evidencias claras dentro del repositorio  del aporte de cada uno de los integrantes del equipo que permitan identificar la equidad en el trabajo y la participación de cada estudiante.</v>
      </c>
      <c r="C19" s="29" t="s">
        <v>5</v>
      </c>
      <c r="D19" s="17"/>
      <c r="E19" s="17" t="str">
        <f>IF(D19="X",100*0.15,"")</f>
        <v/>
      </c>
      <c r="F19" s="17" t="s">
        <v>77</v>
      </c>
      <c r="G19" s="17">
        <f>IF(F19="X",60*0.15,"")</f>
        <v>9</v>
      </c>
      <c r="H19" s="17" t="str">
        <f>IF($C19=ML,"X","")</f>
        <v/>
      </c>
      <c r="I19" s="17" t="str">
        <f>IF(H19="X",30*0.15,"")</f>
        <v/>
      </c>
      <c r="J19" s="17" t="str">
        <f>IF($C19=NL,"X","")</f>
        <v/>
      </c>
      <c r="K19" s="17" t="str">
        <f t="shared" si="4"/>
        <v/>
      </c>
    </row>
    <row r="20" spans="1:11" ht="15.75" customHeight="1" outlineLevel="1">
      <c r="A20" s="66"/>
      <c r="B20" s="30" t="s">
        <v>4</v>
      </c>
      <c r="C20" s="34">
        <f>E20+G20+I20+K20</f>
        <v>47</v>
      </c>
      <c r="D20" s="20"/>
      <c r="E20" s="20">
        <f>SUM(E13:E19)</f>
        <v>5</v>
      </c>
      <c r="F20" s="20"/>
      <c r="G20" s="20">
        <f>SUM(G13:G19)</f>
        <v>42</v>
      </c>
      <c r="H20" s="20"/>
      <c r="I20" s="20">
        <f>SUM(I13:I19)</f>
        <v>0</v>
      </c>
      <c r="J20" s="20"/>
      <c r="K20" s="20">
        <f>SUM(K13:K19)</f>
        <v>0</v>
      </c>
    </row>
    <row r="21" spans="1:11" ht="15.75" customHeight="1" outlineLevel="1">
      <c r="A21" s="55"/>
      <c r="B21" s="33" t="s">
        <v>13</v>
      </c>
      <c r="C21" s="21">
        <f>VLOOKUP(C20,ESCALA_IEP!A1:B152,2,FALSE)</f>
        <v>4.2</v>
      </c>
    </row>
    <row r="22" spans="1:11" ht="15.75" customHeight="1"/>
    <row r="23" spans="1:11" ht="15.75" customHeight="1"/>
    <row r="24" spans="1:11" ht="15.75" customHeight="1">
      <c r="A24" s="65" t="s">
        <v>15</v>
      </c>
      <c r="B24" s="54" t="s">
        <v>16</v>
      </c>
      <c r="C24" s="57" t="str">
        <f>$B$4</f>
        <v xml:space="preserve">OLIVARES MELGAREJO BASTIAN ALEJANDRO </v>
      </c>
      <c r="D24" s="58"/>
      <c r="E24" s="58"/>
      <c r="F24" s="58"/>
      <c r="G24" s="58"/>
      <c r="H24" s="58"/>
      <c r="I24" s="58"/>
      <c r="J24" s="58"/>
      <c r="K24" s="59"/>
    </row>
    <row r="25" spans="1:11" ht="15.75" customHeight="1">
      <c r="A25" s="66"/>
      <c r="B25" s="55"/>
      <c r="C25" s="60"/>
      <c r="D25" s="61"/>
      <c r="E25" s="61"/>
      <c r="F25" s="61"/>
      <c r="G25" s="61"/>
      <c r="H25" s="61"/>
      <c r="I25" s="61"/>
      <c r="J25" s="61"/>
      <c r="K25" s="62"/>
    </row>
    <row r="26" spans="1:11" ht="15.75" customHeight="1">
      <c r="A26" s="66"/>
      <c r="B26" s="15" t="s">
        <v>17</v>
      </c>
      <c r="C26" s="56" t="s">
        <v>10</v>
      </c>
      <c r="D26" s="63" t="s">
        <v>11</v>
      </c>
      <c r="E26" s="68"/>
      <c r="F26" s="68"/>
      <c r="G26" s="68"/>
      <c r="H26" s="68"/>
      <c r="I26" s="68"/>
      <c r="J26" s="68"/>
      <c r="K26" s="64"/>
    </row>
    <row r="27" spans="1:11" ht="15.75" customHeight="1">
      <c r="A27" s="66"/>
      <c r="B27" s="16" t="s">
        <v>12</v>
      </c>
      <c r="C27" s="55"/>
      <c r="D27" s="63" t="s">
        <v>5</v>
      </c>
      <c r="E27" s="64"/>
      <c r="F27" s="63" t="s">
        <v>6</v>
      </c>
      <c r="G27" s="64"/>
      <c r="H27" s="67" t="s">
        <v>27</v>
      </c>
      <c r="I27" s="64"/>
      <c r="J27" s="63" t="s">
        <v>7</v>
      </c>
      <c r="K27" s="64"/>
    </row>
    <row r="28" spans="1:11">
      <c r="A28" s="66"/>
      <c r="B28" s="31" t="str">
        <f>RUBRICA!A6</f>
        <v>3. Relaciona el Proyecto APT con sus intereses profesionales. *</v>
      </c>
      <c r="C28" s="29" t="s">
        <v>5</v>
      </c>
      <c r="D28" s="17"/>
      <c r="E28" s="17" t="str">
        <f>IF(D28="X",100*0.05,"")</f>
        <v/>
      </c>
      <c r="F28" s="17" t="s">
        <v>77</v>
      </c>
      <c r="G28" s="17">
        <f>IF(F28="X",60*0.05,"")</f>
        <v>3</v>
      </c>
      <c r="H28" s="17" t="str">
        <f t="shared" ref="H28:H30" si="5">IF($C28=ML,"X","")</f>
        <v/>
      </c>
      <c r="I28" s="17" t="str">
        <f>IF(H28="X",30*0.05,"")</f>
        <v/>
      </c>
      <c r="J28" s="17" t="str">
        <f t="shared" ref="J28:J30" si="6">IF($C28=NL,"X","")</f>
        <v/>
      </c>
      <c r="K28" s="17" t="str">
        <f t="shared" ref="K28:K30" si="7">IF($J28="X",0,"")</f>
        <v/>
      </c>
    </row>
    <row r="29" spans="1:11" ht="24.6" customHeight="1">
      <c r="A29" s="66"/>
      <c r="B29" s="31" t="str">
        <f>RUBRICA!A11</f>
        <v>8. Expone el tema utilizando un lenguaje técnico disciplinar al presentar la propuesta y responde evidenciando un manejo de la información. *</v>
      </c>
      <c r="C29" s="29" t="s">
        <v>5</v>
      </c>
      <c r="D29" s="17"/>
      <c r="E29" s="17" t="str">
        <f>IF(D29="X",100*0.1,"")</f>
        <v/>
      </c>
      <c r="F29" s="17" t="s">
        <v>77</v>
      </c>
      <c r="G29" s="17">
        <f>IF(F29="X",60*0.1,"")</f>
        <v>6</v>
      </c>
      <c r="H29" s="17" t="str">
        <f t="shared" si="5"/>
        <v/>
      </c>
      <c r="I29" s="17" t="str">
        <f>IF(H29="X",30*0.1,"")</f>
        <v/>
      </c>
      <c r="J29" s="17" t="str">
        <f t="shared" si="6"/>
        <v/>
      </c>
      <c r="K29" s="17" t="str">
        <f t="shared" si="7"/>
        <v/>
      </c>
    </row>
    <row r="30" spans="1:11" ht="25.9" customHeight="1">
      <c r="A30" s="66"/>
      <c r="B30" s="31" t="str">
        <f>RUBRICA!A13</f>
        <v>10. Colaboración y trabajo en equipo *</v>
      </c>
      <c r="C30" s="29" t="s">
        <v>5</v>
      </c>
      <c r="D30" s="17"/>
      <c r="E30" s="17" t="str">
        <f>IF(D30="X",100*0.1,"")</f>
        <v/>
      </c>
      <c r="F30" s="17" t="s">
        <v>77</v>
      </c>
      <c r="G30" s="17">
        <f>IF(F30="X",60*0.1,"")</f>
        <v>6</v>
      </c>
      <c r="H30" s="17" t="str">
        <f t="shared" si="5"/>
        <v/>
      </c>
      <c r="I30" s="17" t="str">
        <f>IF(H30="X",30*0.1,"")</f>
        <v/>
      </c>
      <c r="J30" s="17" t="str">
        <f t="shared" si="6"/>
        <v/>
      </c>
      <c r="K30" s="17" t="str">
        <f t="shared" si="7"/>
        <v/>
      </c>
    </row>
    <row r="31" spans="1:11" ht="15.75" customHeight="1">
      <c r="A31" s="66"/>
      <c r="B31" s="22" t="s">
        <v>14</v>
      </c>
      <c r="C31" s="19">
        <f>E31+G31+I31+K31</f>
        <v>15</v>
      </c>
      <c r="D31" s="20"/>
      <c r="E31" s="20">
        <f>SUM(E28:E30)</f>
        <v>0</v>
      </c>
      <c r="F31" s="20"/>
      <c r="G31" s="20">
        <f>SUM(G28:G30)</f>
        <v>15</v>
      </c>
      <c r="H31" s="20"/>
      <c r="I31" s="20">
        <f>SUM(I28:I30)</f>
        <v>0</v>
      </c>
      <c r="J31" s="20"/>
      <c r="K31" s="20">
        <f>SUM(K29:K30)</f>
        <v>0</v>
      </c>
    </row>
    <row r="32" spans="1:11" ht="15.75" customHeight="1">
      <c r="A32" s="55"/>
      <c r="B32" s="18" t="s">
        <v>13</v>
      </c>
      <c r="C32" s="21">
        <f>VLOOKUP(C31,ESCALA_TRAB_EQUIP!A1:B52,2,FALSE)</f>
        <v>4</v>
      </c>
    </row>
    <row r="33" spans="1:11" ht="15.75" customHeight="1">
      <c r="B33" s="23"/>
      <c r="C33" s="24"/>
    </row>
    <row r="34" spans="1:11" ht="15.75" customHeight="1">
      <c r="B34" s="23"/>
      <c r="C34" s="24"/>
    </row>
    <row r="35" spans="1:11" ht="15.75" customHeight="1"/>
    <row r="36" spans="1:11" ht="15.75" customHeight="1">
      <c r="A36" s="65" t="s">
        <v>15</v>
      </c>
      <c r="B36" s="54" t="s">
        <v>16</v>
      </c>
      <c r="C36" s="57">
        <f>B5</f>
        <v>0</v>
      </c>
      <c r="D36" s="58"/>
      <c r="E36" s="58"/>
      <c r="F36" s="58"/>
      <c r="G36" s="58"/>
      <c r="H36" s="58"/>
      <c r="I36" s="58"/>
      <c r="J36" s="58"/>
      <c r="K36" s="59"/>
    </row>
    <row r="37" spans="1:11" ht="15.75" customHeight="1">
      <c r="A37" s="66"/>
      <c r="B37" s="55"/>
      <c r="C37" s="60"/>
      <c r="D37" s="61"/>
      <c r="E37" s="61"/>
      <c r="F37" s="61"/>
      <c r="G37" s="61"/>
      <c r="H37" s="61"/>
      <c r="I37" s="61"/>
      <c r="J37" s="61"/>
      <c r="K37" s="62"/>
    </row>
    <row r="38" spans="1:11" ht="15.75" customHeight="1">
      <c r="A38" s="66"/>
      <c r="B38" s="15" t="s">
        <v>17</v>
      </c>
      <c r="C38" s="56" t="s">
        <v>10</v>
      </c>
      <c r="D38" s="63" t="s">
        <v>11</v>
      </c>
      <c r="E38" s="68"/>
      <c r="F38" s="68"/>
      <c r="G38" s="68"/>
      <c r="H38" s="68"/>
      <c r="I38" s="68"/>
      <c r="J38" s="68"/>
      <c r="K38" s="64"/>
    </row>
    <row r="39" spans="1:11" ht="15.75" customHeight="1">
      <c r="A39" s="66"/>
      <c r="B39" s="16" t="s">
        <v>12</v>
      </c>
      <c r="C39" s="55"/>
      <c r="D39" s="63" t="s">
        <v>5</v>
      </c>
      <c r="E39" s="64"/>
      <c r="F39" s="63" t="s">
        <v>6</v>
      </c>
      <c r="G39" s="64"/>
      <c r="H39" s="67" t="s">
        <v>27</v>
      </c>
      <c r="I39" s="64"/>
      <c r="J39" s="63" t="s">
        <v>7</v>
      </c>
      <c r="K39" s="64"/>
    </row>
    <row r="40" spans="1:11" ht="15.75" customHeight="1">
      <c r="A40" s="66"/>
      <c r="B40" s="31" t="str">
        <f>RUBRICA!A6</f>
        <v>3. Relaciona el Proyecto APT con sus intereses profesionales. *</v>
      </c>
      <c r="C40" s="29" t="s">
        <v>5</v>
      </c>
      <c r="D40" s="17" t="str">
        <f t="shared" ref="D40:D42" si="8">IF($C40=CL,"X","")</f>
        <v>X</v>
      </c>
      <c r="E40" s="17">
        <f>IF(D40="X",100*0.05,"")</f>
        <v>5</v>
      </c>
      <c r="F40" s="17" t="str">
        <f t="shared" ref="F40:F42" si="9">IF($C40=L,"X","")</f>
        <v/>
      </c>
      <c r="G40" s="17" t="str">
        <f>IF(F40="X",60*0.05,"")</f>
        <v/>
      </c>
      <c r="H40" s="17" t="str">
        <f t="shared" ref="H40:H42" si="10">IF($C40=ML,"X","")</f>
        <v/>
      </c>
      <c r="I40" s="17" t="str">
        <f>IF(H40="X",30*0.05,"")</f>
        <v/>
      </c>
      <c r="J40" s="17" t="str">
        <f t="shared" ref="J40:J42" si="11">IF($C40=NL,"X","")</f>
        <v/>
      </c>
      <c r="K40" s="17" t="str">
        <f t="shared" ref="K40:K42" si="12">IF($J40="X",0,"")</f>
        <v/>
      </c>
    </row>
    <row r="41" spans="1:11" ht="25.9" customHeight="1">
      <c r="A41" s="66"/>
      <c r="B41" s="31" t="str">
        <f>RUBRICA!A11</f>
        <v>8. Expone el tema utilizando un lenguaje técnico disciplinar al presentar la propuesta y responde evidenciando un manejo de la información. *</v>
      </c>
      <c r="C41" s="29" t="s">
        <v>5</v>
      </c>
      <c r="D41" s="17" t="str">
        <f t="shared" si="8"/>
        <v>X</v>
      </c>
      <c r="E41" s="17">
        <f>IF(D41="X",100*0.1,"")</f>
        <v>10</v>
      </c>
      <c r="F41" s="17" t="str">
        <f t="shared" si="9"/>
        <v/>
      </c>
      <c r="G41" s="17" t="str">
        <f>IF(F41="X",60*0.1,"")</f>
        <v/>
      </c>
      <c r="H41" s="17" t="str">
        <f t="shared" si="10"/>
        <v/>
      </c>
      <c r="I41" s="17" t="str">
        <f>IF(H41="X",30*0.1,"")</f>
        <v/>
      </c>
      <c r="J41" s="17" t="str">
        <f t="shared" si="11"/>
        <v/>
      </c>
      <c r="K41" s="17" t="str">
        <f t="shared" si="12"/>
        <v/>
      </c>
    </row>
    <row r="42" spans="1:11">
      <c r="A42" s="66"/>
      <c r="B42" s="31" t="str">
        <f>RUBRICA!A13</f>
        <v>10. Colaboración y trabajo en equipo *</v>
      </c>
      <c r="C42" s="29" t="s">
        <v>5</v>
      </c>
      <c r="D42" s="17" t="str">
        <f t="shared" si="8"/>
        <v>X</v>
      </c>
      <c r="E42" s="17">
        <f>IF(D42="X",100*0.1,"")</f>
        <v>10</v>
      </c>
      <c r="F42" s="17" t="str">
        <f t="shared" si="9"/>
        <v/>
      </c>
      <c r="G42" s="17" t="str">
        <f>IF(F42="X",60*0.1,"")</f>
        <v/>
      </c>
      <c r="H42" s="17" t="str">
        <f t="shared" si="10"/>
        <v/>
      </c>
      <c r="I42" s="17" t="str">
        <f>IF(H42="X",30*0.1,"")</f>
        <v/>
      </c>
      <c r="J42" s="17" t="str">
        <f t="shared" si="11"/>
        <v/>
      </c>
      <c r="K42" s="17" t="str">
        <f t="shared" si="12"/>
        <v/>
      </c>
    </row>
    <row r="43" spans="1:11" ht="15.75" customHeight="1">
      <c r="A43" s="66"/>
      <c r="B43" s="22" t="s">
        <v>14</v>
      </c>
      <c r="C43" s="19">
        <f>E43+G43+I43+K43</f>
        <v>25</v>
      </c>
      <c r="D43" s="20"/>
      <c r="E43" s="20">
        <f>SUM(E40:E42)</f>
        <v>25</v>
      </c>
      <c r="F43" s="20"/>
      <c r="G43" s="20">
        <f>SUM(G40:G42)</f>
        <v>0</v>
      </c>
      <c r="H43" s="20"/>
      <c r="I43" s="20">
        <f>SUM(I40:I42)</f>
        <v>0</v>
      </c>
      <c r="J43" s="20"/>
      <c r="K43" s="20">
        <f>SUM(K41:K42)</f>
        <v>0</v>
      </c>
    </row>
    <row r="44" spans="1:11" ht="15.75" customHeight="1">
      <c r="A44" s="55"/>
      <c r="B44" s="18" t="s">
        <v>13</v>
      </c>
      <c r="C44" s="21">
        <f>VLOOKUP(C43,ESCALA_TRAB_EQUIP!A1:B52,2,FALSE)</f>
        <v>7</v>
      </c>
    </row>
    <row r="45" spans="1:11" ht="15.75" customHeight="1">
      <c r="B45" s="23"/>
      <c r="C45" s="24"/>
    </row>
    <row r="46" spans="1:11" ht="15.75" customHeight="1">
      <c r="B46" s="23"/>
      <c r="C46" s="24"/>
    </row>
    <row r="47" spans="1:11" ht="15.75" customHeight="1">
      <c r="A47" s="65" t="s">
        <v>15</v>
      </c>
      <c r="B47" s="54" t="s">
        <v>16</v>
      </c>
      <c r="C47" s="57">
        <f>B6</f>
        <v>0</v>
      </c>
      <c r="D47" s="58"/>
      <c r="E47" s="58"/>
      <c r="F47" s="58"/>
      <c r="G47" s="58"/>
      <c r="H47" s="58"/>
      <c r="I47" s="58"/>
      <c r="J47" s="58"/>
      <c r="K47" s="59"/>
    </row>
    <row r="48" spans="1:11" ht="15.75" customHeight="1">
      <c r="A48" s="66"/>
      <c r="B48" s="55"/>
      <c r="C48" s="60"/>
      <c r="D48" s="61"/>
      <c r="E48" s="61"/>
      <c r="F48" s="61"/>
      <c r="G48" s="61"/>
      <c r="H48" s="61"/>
      <c r="I48" s="61"/>
      <c r="J48" s="61"/>
      <c r="K48" s="62"/>
    </row>
    <row r="49" spans="1:11" ht="15.75" customHeight="1">
      <c r="A49" s="66"/>
      <c r="B49" s="15" t="s">
        <v>17</v>
      </c>
      <c r="C49" s="56" t="s">
        <v>10</v>
      </c>
      <c r="D49" s="63" t="s">
        <v>11</v>
      </c>
      <c r="E49" s="68"/>
      <c r="F49" s="68"/>
      <c r="G49" s="68"/>
      <c r="H49" s="68"/>
      <c r="I49" s="68"/>
      <c r="J49" s="68"/>
      <c r="K49" s="64"/>
    </row>
    <row r="50" spans="1:11" ht="15.75" customHeight="1">
      <c r="A50" s="66"/>
      <c r="B50" s="16" t="s">
        <v>12</v>
      </c>
      <c r="C50" s="55"/>
      <c r="D50" s="63" t="s">
        <v>5</v>
      </c>
      <c r="E50" s="64"/>
      <c r="F50" s="63" t="s">
        <v>6</v>
      </c>
      <c r="G50" s="64"/>
      <c r="H50" s="67" t="s">
        <v>27</v>
      </c>
      <c r="I50" s="64"/>
      <c r="J50" s="63" t="s">
        <v>7</v>
      </c>
      <c r="K50" s="64"/>
    </row>
    <row r="51" spans="1:11" ht="15.75" customHeight="1">
      <c r="A51" s="66"/>
      <c r="B51" s="31" t="str">
        <f>RUBRICA!A6</f>
        <v>3. Relaciona el Proyecto APT con sus intereses profesionales. *</v>
      </c>
      <c r="C51" s="29" t="s">
        <v>5</v>
      </c>
      <c r="D51" s="17" t="str">
        <f t="shared" ref="D51:D53" si="13">IF($C51=CL,"X","")</f>
        <v>X</v>
      </c>
      <c r="E51" s="17">
        <f>IF(D51="X",100*0.05,"")</f>
        <v>5</v>
      </c>
      <c r="F51" s="17" t="str">
        <f t="shared" ref="F51:F53" si="14">IF($C51=L,"X","")</f>
        <v/>
      </c>
      <c r="G51" s="17" t="str">
        <f>IF(F51="X",60*0.05,"")</f>
        <v/>
      </c>
      <c r="H51" s="17" t="str">
        <f t="shared" ref="H51:H53" si="15">IF($C51=ML,"X","")</f>
        <v/>
      </c>
      <c r="I51" s="17" t="str">
        <f>IF(H51="X",30*0.05,"")</f>
        <v/>
      </c>
      <c r="J51" s="17" t="str">
        <f t="shared" ref="J51:J53" si="16">IF($C51=NL,"X","")</f>
        <v/>
      </c>
      <c r="K51" s="17" t="str">
        <f t="shared" ref="K51:K53" si="17">IF($J51="X",0,"")</f>
        <v/>
      </c>
    </row>
    <row r="52" spans="1:11" ht="25.9" customHeight="1">
      <c r="A52" s="66"/>
      <c r="B52" s="31" t="str">
        <f>RUBRICA!A11</f>
        <v>8. Expone el tema utilizando un lenguaje técnico disciplinar al presentar la propuesta y responde evidenciando un manejo de la información. *</v>
      </c>
      <c r="C52" s="29" t="s">
        <v>5</v>
      </c>
      <c r="D52" s="17" t="str">
        <f t="shared" si="13"/>
        <v>X</v>
      </c>
      <c r="E52" s="17">
        <f>IF(D52="X",100*0.1,"")</f>
        <v>10</v>
      </c>
      <c r="F52" s="17" t="str">
        <f t="shared" si="14"/>
        <v/>
      </c>
      <c r="G52" s="17" t="str">
        <f>IF(F52="X",60*0.1,"")</f>
        <v/>
      </c>
      <c r="H52" s="17" t="str">
        <f t="shared" si="15"/>
        <v/>
      </c>
      <c r="I52" s="17" t="str">
        <f>IF(H52="X",30*0.1,"")</f>
        <v/>
      </c>
      <c r="J52" s="17" t="str">
        <f t="shared" si="16"/>
        <v/>
      </c>
      <c r="K52" s="17" t="str">
        <f t="shared" si="17"/>
        <v/>
      </c>
    </row>
    <row r="53" spans="1:11">
      <c r="A53" s="66"/>
      <c r="B53" s="31" t="str">
        <f>RUBRICA!A13</f>
        <v>10. Colaboración y trabajo en equipo *</v>
      </c>
      <c r="C53" s="29" t="s">
        <v>5</v>
      </c>
      <c r="D53" s="17" t="str">
        <f t="shared" si="13"/>
        <v>X</v>
      </c>
      <c r="E53" s="17">
        <f>IF(D53="X",100*0.1,"")</f>
        <v>10</v>
      </c>
      <c r="F53" s="17" t="str">
        <f t="shared" si="14"/>
        <v/>
      </c>
      <c r="G53" s="17" t="str">
        <f>IF(F53="X",60*0.1,"")</f>
        <v/>
      </c>
      <c r="H53" s="17" t="str">
        <f t="shared" si="15"/>
        <v/>
      </c>
      <c r="I53" s="17" t="str">
        <f>IF(H53="X",30*0.1,"")</f>
        <v/>
      </c>
      <c r="J53" s="17" t="str">
        <f t="shared" si="16"/>
        <v/>
      </c>
      <c r="K53" s="17" t="str">
        <f t="shared" si="17"/>
        <v/>
      </c>
    </row>
    <row r="54" spans="1:11" ht="15.75" customHeight="1">
      <c r="A54" s="66"/>
      <c r="B54" s="22" t="s">
        <v>14</v>
      </c>
      <c r="C54" s="19">
        <f>E54+G54+I54+K54</f>
        <v>25</v>
      </c>
      <c r="D54" s="20"/>
      <c r="E54" s="20">
        <f>SUM(E51:E53)</f>
        <v>25</v>
      </c>
      <c r="F54" s="20"/>
      <c r="G54" s="20">
        <f>SUM(G51:G53)</f>
        <v>0</v>
      </c>
      <c r="H54" s="20"/>
      <c r="I54" s="20">
        <f>SUM(I51:I53)</f>
        <v>0</v>
      </c>
      <c r="J54" s="20"/>
      <c r="K54" s="20">
        <f>SUM(K52:K53)</f>
        <v>0</v>
      </c>
    </row>
    <row r="55" spans="1:11" ht="15.75" customHeight="1">
      <c r="A55" s="55"/>
      <c r="B55" s="18" t="s">
        <v>13</v>
      </c>
      <c r="C55" s="21">
        <f>VLOOKUP(C54,ESCALA_TRAB_EQUIP!A1:B52,2,FALSE)</f>
        <v>7</v>
      </c>
    </row>
    <row r="56" spans="1:11" ht="15.75" customHeight="1">
      <c r="B56" s="23"/>
      <c r="C56" s="24"/>
    </row>
    <row r="57" spans="1:11" ht="15.75" customHeight="1"/>
    <row r="58" spans="1:11" ht="15.75" customHeight="1"/>
    <row r="59" spans="1:11" ht="15.75" customHeight="1"/>
    <row r="60" spans="1:11" ht="15.75" customHeight="1"/>
    <row r="61" spans="1:11" ht="15.75" customHeight="1"/>
    <row r="62" spans="1:11" ht="15.75" customHeight="1"/>
    <row r="63" spans="1:11" ht="15.75" customHeight="1"/>
    <row r="64" spans="1:11"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sheetData>
  <mergeCells count="35">
    <mergeCell ref="B36:B37"/>
    <mergeCell ref="C36:K37"/>
    <mergeCell ref="C38:C39"/>
    <mergeCell ref="D38:K38"/>
    <mergeCell ref="D39:E39"/>
    <mergeCell ref="F39:G39"/>
    <mergeCell ref="H39:I39"/>
    <mergeCell ref="J39:K39"/>
    <mergeCell ref="A36:A44"/>
    <mergeCell ref="A24:A32"/>
    <mergeCell ref="E2:E3"/>
    <mergeCell ref="C11:C12"/>
    <mergeCell ref="D12:E12"/>
    <mergeCell ref="D11:K11"/>
    <mergeCell ref="F12:G12"/>
    <mergeCell ref="H12:I12"/>
    <mergeCell ref="J12:K12"/>
    <mergeCell ref="A11:A21"/>
    <mergeCell ref="B24:B25"/>
    <mergeCell ref="C24:K25"/>
    <mergeCell ref="C26:C27"/>
    <mergeCell ref="D26:K26"/>
    <mergeCell ref="D27:E27"/>
    <mergeCell ref="F27:G27"/>
    <mergeCell ref="H27:I27"/>
    <mergeCell ref="J27:K27"/>
    <mergeCell ref="D49:K49"/>
    <mergeCell ref="D50:E50"/>
    <mergeCell ref="F50:G50"/>
    <mergeCell ref="H50:I50"/>
    <mergeCell ref="B47:B48"/>
    <mergeCell ref="C49:C50"/>
    <mergeCell ref="C47:K48"/>
    <mergeCell ref="J50:K50"/>
    <mergeCell ref="A47:A55"/>
  </mergeCells>
  <conditionalFormatting sqref="C4:E6">
    <cfRule type="cellIs" dxfId="1" priority="1" operator="lessThan">
      <formula>4</formula>
    </cfRule>
    <cfRule type="cellIs" dxfId="0" priority="2" operator="lessThan">
      <formula>1</formula>
    </cfRule>
  </conditionalFormatting>
  <dataValidations count="1">
    <dataValidation type="decimal" allowBlank="1" showInputMessage="1" showErrorMessage="1" prompt="Error de Ingreso - Nota debe estar entre 1,0 y 7,0" sqref="C4:E6" xr:uid="{00000000-0002-0000-0000-000001000000}">
      <formula1>1</formula1>
      <formula2>7</formula2>
    </dataValidation>
  </dataValidations>
  <pageMargins left="0.7" right="0.7" top="0.75" bottom="0.75" header="0" footer="0"/>
  <pageSetup orientation="portrait"/>
  <extLst>
    <ext xmlns:x14="http://schemas.microsoft.com/office/spreadsheetml/2009/9/main" uri="{CCE6A557-97BC-4b89-ADB6-D9C93CAAB3DF}">
      <x14:dataValidations xmlns:xm="http://schemas.microsoft.com/office/excel/2006/main" count="1">
        <x14:dataValidation type="list" allowBlank="1" showErrorMessage="1" xr:uid="{00000000-0002-0000-0000-000000000000}">
          <x14:formula1>
            <xm:f>'RELEVANCIA-PUNTAJE'!$B$2:$E$2</xm:f>
          </x14:formula1>
          <xm:sqref>C40:C42 C13:C19 C28:C30 C51:C53</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000"/>
  <sheetViews>
    <sheetView topLeftCell="A146" workbookViewId="0">
      <selection activeCell="A153" sqref="A153:B162"/>
    </sheetView>
  </sheetViews>
  <sheetFormatPr baseColWidth="10" defaultColWidth="14.42578125" defaultRowHeight="15" customHeight="1"/>
  <cols>
    <col min="1" max="26" width="10.7109375" customWidth="1"/>
  </cols>
  <sheetData>
    <row r="1" spans="1:2">
      <c r="A1" t="s">
        <v>4</v>
      </c>
      <c r="B1" t="s">
        <v>13</v>
      </c>
    </row>
    <row r="2" spans="1:2">
      <c r="A2">
        <v>0</v>
      </c>
      <c r="B2">
        <v>1</v>
      </c>
    </row>
    <row r="3" spans="1:2">
      <c r="A3">
        <v>0.5</v>
      </c>
      <c r="B3">
        <v>1</v>
      </c>
    </row>
    <row r="4" spans="1:2">
      <c r="A4">
        <v>1</v>
      </c>
      <c r="B4">
        <v>1.1000000000000001</v>
      </c>
    </row>
    <row r="5" spans="1:2">
      <c r="A5">
        <v>1.5</v>
      </c>
      <c r="B5">
        <v>1.1000000000000001</v>
      </c>
    </row>
    <row r="6" spans="1:2">
      <c r="A6">
        <v>2</v>
      </c>
      <c r="B6">
        <v>1.1000000000000001</v>
      </c>
    </row>
    <row r="7" spans="1:2">
      <c r="A7">
        <v>2.5</v>
      </c>
      <c r="B7">
        <v>1.2</v>
      </c>
    </row>
    <row r="8" spans="1:2">
      <c r="A8">
        <v>3</v>
      </c>
      <c r="B8">
        <v>1.2</v>
      </c>
    </row>
    <row r="9" spans="1:2">
      <c r="A9">
        <v>3.5</v>
      </c>
      <c r="B9">
        <v>1.2</v>
      </c>
    </row>
    <row r="10" spans="1:2">
      <c r="A10">
        <v>4</v>
      </c>
      <c r="B10">
        <v>1.3</v>
      </c>
    </row>
    <row r="11" spans="1:2">
      <c r="A11">
        <v>4.5</v>
      </c>
      <c r="B11">
        <v>1.3</v>
      </c>
    </row>
    <row r="12" spans="1:2">
      <c r="A12">
        <v>5</v>
      </c>
      <c r="B12">
        <v>1.3</v>
      </c>
    </row>
    <row r="13" spans="1:2">
      <c r="A13">
        <v>5.5</v>
      </c>
      <c r="B13">
        <v>1.4</v>
      </c>
    </row>
    <row r="14" spans="1:2">
      <c r="A14">
        <v>6</v>
      </c>
      <c r="B14">
        <v>1.4</v>
      </c>
    </row>
    <row r="15" spans="1:2">
      <c r="A15">
        <v>6.5</v>
      </c>
      <c r="B15">
        <v>1.4</v>
      </c>
    </row>
    <row r="16" spans="1:2">
      <c r="A16">
        <v>7</v>
      </c>
      <c r="B16">
        <v>1.5</v>
      </c>
    </row>
    <row r="17" spans="1:2">
      <c r="A17">
        <v>7.5</v>
      </c>
      <c r="B17">
        <v>1.5</v>
      </c>
    </row>
    <row r="18" spans="1:2">
      <c r="A18">
        <v>8</v>
      </c>
      <c r="B18">
        <v>1.5</v>
      </c>
    </row>
    <row r="19" spans="1:2">
      <c r="A19">
        <v>8.5</v>
      </c>
      <c r="B19">
        <v>1.6</v>
      </c>
    </row>
    <row r="20" spans="1:2">
      <c r="A20">
        <v>9</v>
      </c>
      <c r="B20">
        <v>1.6</v>
      </c>
    </row>
    <row r="21" spans="1:2" ht="15.75" customHeight="1">
      <c r="A21">
        <v>9.5</v>
      </c>
      <c r="B21">
        <v>1.6</v>
      </c>
    </row>
    <row r="22" spans="1:2" ht="15.75" customHeight="1">
      <c r="A22">
        <v>10</v>
      </c>
      <c r="B22">
        <v>1.7</v>
      </c>
    </row>
    <row r="23" spans="1:2" ht="15.75" customHeight="1">
      <c r="A23">
        <v>10.5</v>
      </c>
      <c r="B23">
        <v>1.7</v>
      </c>
    </row>
    <row r="24" spans="1:2" ht="15.75" customHeight="1">
      <c r="A24">
        <v>11</v>
      </c>
      <c r="B24">
        <v>1.7</v>
      </c>
    </row>
    <row r="25" spans="1:2" ht="15.75" customHeight="1">
      <c r="A25">
        <v>11.5</v>
      </c>
      <c r="B25">
        <v>1.8</v>
      </c>
    </row>
    <row r="26" spans="1:2" ht="15.75" customHeight="1">
      <c r="A26">
        <v>12</v>
      </c>
      <c r="B26">
        <v>1.8</v>
      </c>
    </row>
    <row r="27" spans="1:2" ht="15.75" customHeight="1">
      <c r="A27">
        <v>12.5</v>
      </c>
      <c r="B27">
        <v>1.8</v>
      </c>
    </row>
    <row r="28" spans="1:2" ht="15.75" customHeight="1">
      <c r="A28">
        <v>13</v>
      </c>
      <c r="B28">
        <v>1.9</v>
      </c>
    </row>
    <row r="29" spans="1:2" ht="15.75" customHeight="1">
      <c r="A29">
        <v>13.5</v>
      </c>
      <c r="B29">
        <v>1.9</v>
      </c>
    </row>
    <row r="30" spans="1:2" ht="15.75" customHeight="1">
      <c r="A30">
        <v>14</v>
      </c>
      <c r="B30">
        <v>1.9</v>
      </c>
    </row>
    <row r="31" spans="1:2" ht="15.75" customHeight="1">
      <c r="A31">
        <v>14.5</v>
      </c>
      <c r="B31">
        <v>2</v>
      </c>
    </row>
    <row r="32" spans="1:2" ht="15.75" customHeight="1">
      <c r="A32">
        <v>15</v>
      </c>
      <c r="B32">
        <v>2</v>
      </c>
    </row>
    <row r="33" spans="1:2" ht="15.75" customHeight="1">
      <c r="A33">
        <v>15.5</v>
      </c>
      <c r="B33">
        <v>2</v>
      </c>
    </row>
    <row r="34" spans="1:2" ht="15.75" customHeight="1">
      <c r="A34">
        <v>16</v>
      </c>
      <c r="B34">
        <v>2.1</v>
      </c>
    </row>
    <row r="35" spans="1:2" ht="15.75" customHeight="1">
      <c r="A35">
        <v>16.5</v>
      </c>
      <c r="B35">
        <v>2.1</v>
      </c>
    </row>
    <row r="36" spans="1:2" ht="15.75" customHeight="1">
      <c r="A36">
        <v>17</v>
      </c>
      <c r="B36">
        <v>2.1</v>
      </c>
    </row>
    <row r="37" spans="1:2" ht="15.75" customHeight="1">
      <c r="A37">
        <v>17.5</v>
      </c>
      <c r="B37">
        <v>2.2000000000000002</v>
      </c>
    </row>
    <row r="38" spans="1:2" ht="15.75" customHeight="1">
      <c r="A38">
        <v>18</v>
      </c>
      <c r="B38">
        <v>2.2000000000000002</v>
      </c>
    </row>
    <row r="39" spans="1:2" ht="15.75" customHeight="1">
      <c r="A39">
        <v>18.5</v>
      </c>
      <c r="B39">
        <v>2.2000000000000002</v>
      </c>
    </row>
    <row r="40" spans="1:2" ht="15.75" customHeight="1">
      <c r="A40">
        <v>19</v>
      </c>
      <c r="B40">
        <v>2.2999999999999998</v>
      </c>
    </row>
    <row r="41" spans="1:2" ht="15.75" customHeight="1">
      <c r="A41">
        <v>19.5</v>
      </c>
      <c r="B41">
        <v>2.2999999999999998</v>
      </c>
    </row>
    <row r="42" spans="1:2" ht="15.75" customHeight="1">
      <c r="A42">
        <v>20</v>
      </c>
      <c r="B42">
        <v>2.2999999999999998</v>
      </c>
    </row>
    <row r="43" spans="1:2" ht="15.75" customHeight="1">
      <c r="A43">
        <v>20.5</v>
      </c>
      <c r="B43">
        <v>2.4</v>
      </c>
    </row>
    <row r="44" spans="1:2" ht="15.75" customHeight="1">
      <c r="A44">
        <v>21</v>
      </c>
      <c r="B44">
        <v>2.4</v>
      </c>
    </row>
    <row r="45" spans="1:2" ht="15.75" customHeight="1">
      <c r="A45">
        <v>21.5</v>
      </c>
      <c r="B45">
        <v>2.4</v>
      </c>
    </row>
    <row r="46" spans="1:2" ht="15.75" customHeight="1">
      <c r="A46">
        <v>22</v>
      </c>
      <c r="B46">
        <v>2.5</v>
      </c>
    </row>
    <row r="47" spans="1:2" ht="15.75" customHeight="1">
      <c r="A47">
        <v>22.5</v>
      </c>
      <c r="B47">
        <v>2.5</v>
      </c>
    </row>
    <row r="48" spans="1:2" ht="15.75" customHeight="1">
      <c r="A48">
        <v>23</v>
      </c>
      <c r="B48">
        <v>2.5</v>
      </c>
    </row>
    <row r="49" spans="1:2" ht="15.75" customHeight="1">
      <c r="A49">
        <v>23.5</v>
      </c>
      <c r="B49">
        <v>2.6</v>
      </c>
    </row>
    <row r="50" spans="1:2" ht="15.75" customHeight="1">
      <c r="A50">
        <v>24</v>
      </c>
      <c r="B50">
        <v>2.6</v>
      </c>
    </row>
    <row r="51" spans="1:2" ht="15.75" customHeight="1">
      <c r="A51">
        <v>24.5</v>
      </c>
      <c r="B51">
        <v>2.6</v>
      </c>
    </row>
    <row r="52" spans="1:2" ht="15.75" customHeight="1">
      <c r="A52">
        <v>25</v>
      </c>
      <c r="B52">
        <v>2.7</v>
      </c>
    </row>
    <row r="53" spans="1:2" ht="15.75" customHeight="1">
      <c r="A53">
        <v>25.5</v>
      </c>
      <c r="B53">
        <v>2.7</v>
      </c>
    </row>
    <row r="54" spans="1:2" ht="15.75" customHeight="1">
      <c r="A54">
        <v>26</v>
      </c>
      <c r="B54">
        <v>2.7</v>
      </c>
    </row>
    <row r="55" spans="1:2" ht="15.75" customHeight="1">
      <c r="A55">
        <v>26.5</v>
      </c>
      <c r="B55">
        <v>2.8</v>
      </c>
    </row>
    <row r="56" spans="1:2" ht="15.75" customHeight="1">
      <c r="A56">
        <v>27</v>
      </c>
      <c r="B56">
        <v>2.8</v>
      </c>
    </row>
    <row r="57" spans="1:2" ht="15.75" customHeight="1">
      <c r="A57">
        <v>27.5</v>
      </c>
      <c r="B57">
        <v>2.8</v>
      </c>
    </row>
    <row r="58" spans="1:2" ht="15.75" customHeight="1">
      <c r="A58">
        <v>28</v>
      </c>
      <c r="B58">
        <v>2.9</v>
      </c>
    </row>
    <row r="59" spans="1:2" ht="15.75" customHeight="1">
      <c r="A59">
        <v>28.5</v>
      </c>
      <c r="B59">
        <v>2.9</v>
      </c>
    </row>
    <row r="60" spans="1:2" ht="15.75" customHeight="1">
      <c r="A60">
        <v>29</v>
      </c>
      <c r="B60">
        <v>2.9</v>
      </c>
    </row>
    <row r="61" spans="1:2" ht="15.75" customHeight="1">
      <c r="A61">
        <v>29.5</v>
      </c>
      <c r="B61">
        <v>3</v>
      </c>
    </row>
    <row r="62" spans="1:2" ht="15.75" customHeight="1">
      <c r="A62">
        <v>30</v>
      </c>
      <c r="B62">
        <v>3</v>
      </c>
    </row>
    <row r="63" spans="1:2" ht="15.75" customHeight="1">
      <c r="A63">
        <v>30.5</v>
      </c>
      <c r="B63">
        <v>3</v>
      </c>
    </row>
    <row r="64" spans="1:2" ht="15.75" customHeight="1">
      <c r="A64">
        <v>31</v>
      </c>
      <c r="B64">
        <v>3.1</v>
      </c>
    </row>
    <row r="65" spans="1:2" ht="15.75" customHeight="1">
      <c r="A65">
        <v>31.5</v>
      </c>
      <c r="B65">
        <v>3.1</v>
      </c>
    </row>
    <row r="66" spans="1:2" ht="15.75" customHeight="1">
      <c r="A66">
        <v>32</v>
      </c>
      <c r="B66">
        <v>3.1</v>
      </c>
    </row>
    <row r="67" spans="1:2" ht="15.75" customHeight="1">
      <c r="A67">
        <v>32.5</v>
      </c>
      <c r="B67">
        <v>3.2</v>
      </c>
    </row>
    <row r="68" spans="1:2" ht="15.75" customHeight="1">
      <c r="A68">
        <v>33</v>
      </c>
      <c r="B68">
        <v>3.2</v>
      </c>
    </row>
    <row r="69" spans="1:2" ht="15.75" customHeight="1">
      <c r="A69">
        <v>33.5</v>
      </c>
      <c r="B69">
        <v>3.2</v>
      </c>
    </row>
    <row r="70" spans="1:2" ht="15.75" customHeight="1">
      <c r="A70">
        <v>34</v>
      </c>
      <c r="B70">
        <v>3.3</v>
      </c>
    </row>
    <row r="71" spans="1:2" ht="15.75" customHeight="1">
      <c r="A71">
        <v>34.5</v>
      </c>
      <c r="B71">
        <v>3.3</v>
      </c>
    </row>
    <row r="72" spans="1:2" ht="15.75" customHeight="1">
      <c r="A72">
        <v>35</v>
      </c>
      <c r="B72">
        <v>3.3</v>
      </c>
    </row>
    <row r="73" spans="1:2" ht="15.75" customHeight="1">
      <c r="A73">
        <v>35.5</v>
      </c>
      <c r="B73">
        <v>3.4</v>
      </c>
    </row>
    <row r="74" spans="1:2" ht="15.75" customHeight="1">
      <c r="A74">
        <v>36</v>
      </c>
      <c r="B74">
        <v>3.4</v>
      </c>
    </row>
    <row r="75" spans="1:2" ht="15.75" customHeight="1">
      <c r="A75">
        <v>36.5</v>
      </c>
      <c r="B75">
        <v>3.4</v>
      </c>
    </row>
    <row r="76" spans="1:2" ht="15.75" customHeight="1">
      <c r="A76">
        <v>37</v>
      </c>
      <c r="B76">
        <v>3.5</v>
      </c>
    </row>
    <row r="77" spans="1:2" ht="15.75" customHeight="1">
      <c r="A77">
        <v>37.5</v>
      </c>
      <c r="B77">
        <v>3.5</v>
      </c>
    </row>
    <row r="78" spans="1:2" ht="15.75" customHeight="1">
      <c r="A78">
        <v>38</v>
      </c>
      <c r="B78">
        <v>3.5</v>
      </c>
    </row>
    <row r="79" spans="1:2" ht="15.75" customHeight="1">
      <c r="A79">
        <v>38.5</v>
      </c>
      <c r="B79">
        <v>3.6</v>
      </c>
    </row>
    <row r="80" spans="1:2" ht="15.75" customHeight="1">
      <c r="A80">
        <v>39</v>
      </c>
      <c r="B80">
        <v>3.6</v>
      </c>
    </row>
    <row r="81" spans="1:2" ht="15.75" customHeight="1">
      <c r="A81">
        <v>39.5</v>
      </c>
      <c r="B81">
        <v>3.6</v>
      </c>
    </row>
    <row r="82" spans="1:2" ht="15.75" customHeight="1">
      <c r="A82">
        <v>40</v>
      </c>
      <c r="B82">
        <v>3.7</v>
      </c>
    </row>
    <row r="83" spans="1:2" ht="15.75" customHeight="1">
      <c r="A83">
        <v>40.5</v>
      </c>
      <c r="B83">
        <v>3.7</v>
      </c>
    </row>
    <row r="84" spans="1:2" ht="15.75" customHeight="1">
      <c r="A84">
        <v>41</v>
      </c>
      <c r="B84">
        <v>3.7</v>
      </c>
    </row>
    <row r="85" spans="1:2" ht="15.75" customHeight="1">
      <c r="A85">
        <v>41.5</v>
      </c>
      <c r="B85">
        <v>3.8</v>
      </c>
    </row>
    <row r="86" spans="1:2" ht="15.75" customHeight="1">
      <c r="A86">
        <v>42</v>
      </c>
      <c r="B86">
        <v>3.8</v>
      </c>
    </row>
    <row r="87" spans="1:2" ht="15.75" customHeight="1">
      <c r="A87">
        <v>42.5</v>
      </c>
      <c r="B87">
        <v>3.8</v>
      </c>
    </row>
    <row r="88" spans="1:2" ht="15.75" customHeight="1">
      <c r="A88">
        <v>43</v>
      </c>
      <c r="B88">
        <v>3.9</v>
      </c>
    </row>
    <row r="89" spans="1:2" ht="15.75" customHeight="1">
      <c r="A89">
        <v>43.5</v>
      </c>
      <c r="B89">
        <v>3.9</v>
      </c>
    </row>
    <row r="90" spans="1:2" ht="15.75" customHeight="1">
      <c r="A90">
        <v>44</v>
      </c>
      <c r="B90">
        <v>3.9</v>
      </c>
    </row>
    <row r="91" spans="1:2" ht="15.75" customHeight="1">
      <c r="A91">
        <v>44.5</v>
      </c>
      <c r="B91">
        <v>4</v>
      </c>
    </row>
    <row r="92" spans="1:2" ht="15.75" customHeight="1">
      <c r="A92">
        <v>45</v>
      </c>
      <c r="B92">
        <v>4</v>
      </c>
    </row>
    <row r="93" spans="1:2" ht="15.75" customHeight="1">
      <c r="A93">
        <v>45.5</v>
      </c>
      <c r="B93">
        <v>4.0999999999999996</v>
      </c>
    </row>
    <row r="94" spans="1:2" ht="15.75" customHeight="1">
      <c r="A94">
        <v>46</v>
      </c>
      <c r="B94">
        <v>4.0999999999999996</v>
      </c>
    </row>
    <row r="95" spans="1:2" ht="15.75" customHeight="1">
      <c r="A95">
        <v>46.5</v>
      </c>
      <c r="B95">
        <v>4.2</v>
      </c>
    </row>
    <row r="96" spans="1:2" ht="15.75" customHeight="1">
      <c r="A96">
        <v>47</v>
      </c>
      <c r="B96">
        <v>4.2</v>
      </c>
    </row>
    <row r="97" spans="1:2" ht="15.75" customHeight="1">
      <c r="A97">
        <v>47.5</v>
      </c>
      <c r="B97">
        <v>4.3</v>
      </c>
    </row>
    <row r="98" spans="1:2" ht="15.75" customHeight="1">
      <c r="A98">
        <v>48</v>
      </c>
      <c r="B98">
        <v>4.3</v>
      </c>
    </row>
    <row r="99" spans="1:2" ht="15.75" customHeight="1">
      <c r="A99">
        <v>48.5</v>
      </c>
      <c r="B99">
        <v>4.4000000000000004</v>
      </c>
    </row>
    <row r="100" spans="1:2" ht="15.75" customHeight="1">
      <c r="A100">
        <v>49</v>
      </c>
      <c r="B100">
        <v>4.4000000000000004</v>
      </c>
    </row>
    <row r="101" spans="1:2" ht="15.75" customHeight="1">
      <c r="A101">
        <v>49.5</v>
      </c>
      <c r="B101">
        <v>4.5</v>
      </c>
    </row>
    <row r="102" spans="1:2" ht="15.75" customHeight="1">
      <c r="A102">
        <v>50</v>
      </c>
      <c r="B102">
        <v>4.5</v>
      </c>
    </row>
    <row r="103" spans="1:2" ht="15.75" customHeight="1">
      <c r="A103">
        <v>50.5</v>
      </c>
      <c r="B103">
        <v>4.5999999999999996</v>
      </c>
    </row>
    <row r="104" spans="1:2" ht="15.75" customHeight="1">
      <c r="A104">
        <v>51</v>
      </c>
      <c r="B104">
        <v>4.5999999999999996</v>
      </c>
    </row>
    <row r="105" spans="1:2" ht="15.75" customHeight="1">
      <c r="A105">
        <v>51.5</v>
      </c>
      <c r="B105">
        <v>4.7</v>
      </c>
    </row>
    <row r="106" spans="1:2" ht="15.75" customHeight="1">
      <c r="A106">
        <v>52</v>
      </c>
      <c r="B106">
        <v>4.7</v>
      </c>
    </row>
    <row r="107" spans="1:2" ht="15.75" customHeight="1">
      <c r="A107">
        <v>52.5</v>
      </c>
      <c r="B107">
        <v>4.8</v>
      </c>
    </row>
    <row r="108" spans="1:2" ht="15.75" customHeight="1">
      <c r="A108">
        <v>53</v>
      </c>
      <c r="B108">
        <v>4.8</v>
      </c>
    </row>
    <row r="109" spans="1:2" ht="15.75" customHeight="1">
      <c r="A109">
        <v>53.5</v>
      </c>
      <c r="B109">
        <v>4.9000000000000004</v>
      </c>
    </row>
    <row r="110" spans="1:2" ht="15.75" customHeight="1">
      <c r="A110">
        <v>54</v>
      </c>
      <c r="B110">
        <v>4.9000000000000004</v>
      </c>
    </row>
    <row r="111" spans="1:2" ht="15.75" customHeight="1">
      <c r="A111">
        <v>54.5</v>
      </c>
      <c r="B111">
        <v>5</v>
      </c>
    </row>
    <row r="112" spans="1:2" ht="15.75" customHeight="1">
      <c r="A112">
        <v>55</v>
      </c>
      <c r="B112">
        <v>5</v>
      </c>
    </row>
    <row r="113" spans="1:2" ht="15.75" customHeight="1">
      <c r="A113">
        <v>55.5</v>
      </c>
      <c r="B113">
        <v>5.0999999999999996</v>
      </c>
    </row>
    <row r="114" spans="1:2" ht="15.75" customHeight="1">
      <c r="A114">
        <v>56</v>
      </c>
      <c r="B114">
        <v>5.0999999999999996</v>
      </c>
    </row>
    <row r="115" spans="1:2" ht="15.75" customHeight="1">
      <c r="A115">
        <v>56.5</v>
      </c>
      <c r="B115">
        <v>5.2</v>
      </c>
    </row>
    <row r="116" spans="1:2" ht="15.75" customHeight="1">
      <c r="A116">
        <v>57</v>
      </c>
      <c r="B116">
        <v>5.2</v>
      </c>
    </row>
    <row r="117" spans="1:2" ht="15.75" customHeight="1">
      <c r="A117">
        <v>57.5</v>
      </c>
      <c r="B117">
        <v>5.3</v>
      </c>
    </row>
    <row r="118" spans="1:2" ht="15.75" customHeight="1">
      <c r="A118">
        <v>58</v>
      </c>
      <c r="B118">
        <v>5.3</v>
      </c>
    </row>
    <row r="119" spans="1:2" ht="15.75" customHeight="1">
      <c r="A119">
        <v>58.5</v>
      </c>
      <c r="B119">
        <v>5.4</v>
      </c>
    </row>
    <row r="120" spans="1:2" ht="15.75" customHeight="1">
      <c r="A120">
        <v>59</v>
      </c>
      <c r="B120">
        <v>5.4</v>
      </c>
    </row>
    <row r="121" spans="1:2" ht="15.75" customHeight="1">
      <c r="A121">
        <v>59.5</v>
      </c>
      <c r="B121">
        <v>5.5</v>
      </c>
    </row>
    <row r="122" spans="1:2" ht="15.75" customHeight="1">
      <c r="A122">
        <v>60</v>
      </c>
      <c r="B122">
        <v>5.5</v>
      </c>
    </row>
    <row r="123" spans="1:2" ht="15.75" customHeight="1">
      <c r="A123">
        <v>60.5</v>
      </c>
      <c r="B123">
        <v>5.6</v>
      </c>
    </row>
    <row r="124" spans="1:2" ht="15.75" customHeight="1">
      <c r="A124">
        <v>61</v>
      </c>
      <c r="B124">
        <v>5.6</v>
      </c>
    </row>
    <row r="125" spans="1:2" ht="15.75" customHeight="1">
      <c r="A125">
        <v>61.5</v>
      </c>
      <c r="B125">
        <v>5.7</v>
      </c>
    </row>
    <row r="126" spans="1:2" ht="15.75" customHeight="1">
      <c r="A126">
        <v>62</v>
      </c>
      <c r="B126">
        <v>5.7</v>
      </c>
    </row>
    <row r="127" spans="1:2" ht="15.75" customHeight="1">
      <c r="A127">
        <v>62.5</v>
      </c>
      <c r="B127">
        <v>5.8</v>
      </c>
    </row>
    <row r="128" spans="1:2" ht="15.75" customHeight="1">
      <c r="A128">
        <v>63</v>
      </c>
      <c r="B128">
        <v>5.8</v>
      </c>
    </row>
    <row r="129" spans="1:2" ht="15.75" customHeight="1">
      <c r="A129">
        <v>63.5</v>
      </c>
      <c r="B129">
        <v>5.9</v>
      </c>
    </row>
    <row r="130" spans="1:2" ht="15.75" customHeight="1">
      <c r="A130">
        <v>64</v>
      </c>
      <c r="B130">
        <v>5.9</v>
      </c>
    </row>
    <row r="131" spans="1:2" ht="15.75" customHeight="1">
      <c r="A131">
        <v>64.5</v>
      </c>
      <c r="B131">
        <v>6</v>
      </c>
    </row>
    <row r="132" spans="1:2" ht="15.75" customHeight="1">
      <c r="A132">
        <v>65</v>
      </c>
      <c r="B132">
        <v>6</v>
      </c>
    </row>
    <row r="133" spans="1:2" ht="15.75" customHeight="1">
      <c r="A133">
        <v>65.5</v>
      </c>
      <c r="B133">
        <v>6.1</v>
      </c>
    </row>
    <row r="134" spans="1:2" ht="15.75" customHeight="1">
      <c r="A134">
        <v>66</v>
      </c>
      <c r="B134">
        <v>6.1</v>
      </c>
    </row>
    <row r="135" spans="1:2" ht="15.75" customHeight="1">
      <c r="A135">
        <v>66.5</v>
      </c>
      <c r="B135">
        <v>6.2</v>
      </c>
    </row>
    <row r="136" spans="1:2" ht="15.75" customHeight="1">
      <c r="A136">
        <v>67</v>
      </c>
      <c r="B136">
        <v>6.2</v>
      </c>
    </row>
    <row r="137" spans="1:2" ht="15.75" customHeight="1">
      <c r="A137">
        <v>67.5</v>
      </c>
      <c r="B137">
        <v>6.3</v>
      </c>
    </row>
    <row r="138" spans="1:2" ht="15.75" customHeight="1">
      <c r="A138">
        <v>68</v>
      </c>
      <c r="B138">
        <v>6.3</v>
      </c>
    </row>
    <row r="139" spans="1:2" ht="15.75" customHeight="1">
      <c r="A139">
        <v>68.5</v>
      </c>
      <c r="B139">
        <v>6.4</v>
      </c>
    </row>
    <row r="140" spans="1:2" ht="15.75" customHeight="1">
      <c r="A140">
        <v>69</v>
      </c>
      <c r="B140">
        <v>6.4</v>
      </c>
    </row>
    <row r="141" spans="1:2" ht="15.75" customHeight="1">
      <c r="A141">
        <v>69.5</v>
      </c>
      <c r="B141">
        <v>6.5</v>
      </c>
    </row>
    <row r="142" spans="1:2" ht="15.75" customHeight="1">
      <c r="A142">
        <v>70</v>
      </c>
      <c r="B142">
        <v>6.5</v>
      </c>
    </row>
    <row r="143" spans="1:2" ht="15.75" customHeight="1">
      <c r="A143">
        <v>70.5</v>
      </c>
      <c r="B143">
        <v>6.6</v>
      </c>
    </row>
    <row r="144" spans="1:2" ht="15.75" customHeight="1">
      <c r="A144">
        <v>71</v>
      </c>
      <c r="B144">
        <v>6.6</v>
      </c>
    </row>
    <row r="145" spans="1:2" ht="15.75" customHeight="1">
      <c r="A145">
        <v>71.5</v>
      </c>
      <c r="B145">
        <v>6.7</v>
      </c>
    </row>
    <row r="146" spans="1:2" ht="15.75" customHeight="1">
      <c r="A146">
        <v>72</v>
      </c>
      <c r="B146">
        <v>6.7</v>
      </c>
    </row>
    <row r="147" spans="1:2" ht="15.75" customHeight="1">
      <c r="A147">
        <v>72.5</v>
      </c>
      <c r="B147">
        <v>6.8</v>
      </c>
    </row>
    <row r="148" spans="1:2" ht="15.75" customHeight="1">
      <c r="A148">
        <v>73</v>
      </c>
      <c r="B148">
        <v>6.8</v>
      </c>
    </row>
    <row r="149" spans="1:2" ht="15.75" customHeight="1">
      <c r="A149">
        <v>73.5</v>
      </c>
      <c r="B149">
        <v>6.9</v>
      </c>
    </row>
    <row r="150" spans="1:2" ht="15.75" customHeight="1">
      <c r="A150">
        <v>74</v>
      </c>
      <c r="B150">
        <v>6.9</v>
      </c>
    </row>
    <row r="151" spans="1:2" ht="15.75" customHeight="1">
      <c r="A151">
        <v>74.5</v>
      </c>
      <c r="B151">
        <v>7</v>
      </c>
    </row>
    <row r="152" spans="1:2" ht="15.75" customHeight="1">
      <c r="A152">
        <v>75</v>
      </c>
      <c r="B152">
        <v>7</v>
      </c>
    </row>
    <row r="153" spans="1:2" ht="15.75" customHeight="1"/>
    <row r="154" spans="1:2" ht="15.75" customHeight="1"/>
    <row r="155" spans="1:2" ht="15.75" customHeight="1"/>
    <row r="156" spans="1:2" ht="15.75" customHeight="1"/>
    <row r="157" spans="1:2" ht="15.75" customHeight="1"/>
    <row r="158" spans="1:2" ht="15.75" customHeight="1"/>
    <row r="159" spans="1:2" ht="15.75" customHeight="1"/>
    <row r="160" spans="1:2"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000"/>
  <sheetViews>
    <sheetView workbookViewId="0"/>
  </sheetViews>
  <sheetFormatPr baseColWidth="10" defaultColWidth="14.42578125" defaultRowHeight="15" customHeight="1"/>
  <cols>
    <col min="1" max="26" width="10.7109375" customWidth="1"/>
  </cols>
  <sheetData>
    <row r="1" spans="1:2">
      <c r="A1" t="s">
        <v>0</v>
      </c>
      <c r="B1" t="s">
        <v>1</v>
      </c>
    </row>
    <row r="2" spans="1:2">
      <c r="A2">
        <v>0</v>
      </c>
      <c r="B2" s="1">
        <v>1</v>
      </c>
    </row>
    <row r="3" spans="1:2">
      <c r="A3">
        <v>1</v>
      </c>
      <c r="B3" s="1">
        <v>1.1000000000000001</v>
      </c>
    </row>
    <row r="4" spans="1:2">
      <c r="A4">
        <v>2</v>
      </c>
      <c r="B4" s="1">
        <v>1.2</v>
      </c>
    </row>
    <row r="5" spans="1:2">
      <c r="A5">
        <v>3</v>
      </c>
      <c r="B5" s="1">
        <v>1.3</v>
      </c>
    </row>
    <row r="6" spans="1:2">
      <c r="A6">
        <v>4</v>
      </c>
      <c r="B6" s="1">
        <v>1.4</v>
      </c>
    </row>
    <row r="7" spans="1:2">
      <c r="A7">
        <v>5</v>
      </c>
      <c r="B7" s="1">
        <v>1.5</v>
      </c>
    </row>
    <row r="8" spans="1:2">
      <c r="A8">
        <v>6</v>
      </c>
      <c r="B8" s="1">
        <v>1.6</v>
      </c>
    </row>
    <row r="9" spans="1:2">
      <c r="A9">
        <v>7</v>
      </c>
      <c r="B9" s="1">
        <v>1.7</v>
      </c>
    </row>
    <row r="10" spans="1:2">
      <c r="A10">
        <v>8</v>
      </c>
      <c r="B10" s="1">
        <v>1.8</v>
      </c>
    </row>
    <row r="11" spans="1:2">
      <c r="A11">
        <v>9</v>
      </c>
      <c r="B11" s="1">
        <v>1.9</v>
      </c>
    </row>
    <row r="12" spans="1:2">
      <c r="A12">
        <v>10</v>
      </c>
      <c r="B12" s="1">
        <v>2</v>
      </c>
    </row>
    <row r="13" spans="1:2">
      <c r="A13">
        <v>11</v>
      </c>
      <c r="B13" s="1">
        <v>2.1</v>
      </c>
    </row>
    <row r="14" spans="1:2">
      <c r="A14">
        <v>12</v>
      </c>
      <c r="B14" s="1">
        <v>2.2000000000000002</v>
      </c>
    </row>
    <row r="15" spans="1:2">
      <c r="A15">
        <v>13</v>
      </c>
      <c r="B15" s="1">
        <v>2.2999999999999998</v>
      </c>
    </row>
    <row r="16" spans="1:2">
      <c r="A16">
        <v>14</v>
      </c>
      <c r="B16" s="1">
        <v>2.2999999999999998</v>
      </c>
    </row>
    <row r="17" spans="1:2">
      <c r="A17">
        <v>15</v>
      </c>
      <c r="B17" s="1">
        <v>2.4</v>
      </c>
    </row>
    <row r="18" spans="1:2">
      <c r="A18">
        <v>16</v>
      </c>
      <c r="B18" s="1">
        <v>2.5</v>
      </c>
    </row>
    <row r="19" spans="1:2">
      <c r="A19">
        <v>17</v>
      </c>
      <c r="B19" s="1">
        <v>2.6</v>
      </c>
    </row>
    <row r="20" spans="1:2">
      <c r="A20">
        <v>18</v>
      </c>
      <c r="B20" s="1">
        <v>2.7</v>
      </c>
    </row>
    <row r="21" spans="1:2" ht="15.75" customHeight="1">
      <c r="A21">
        <v>19</v>
      </c>
      <c r="B21" s="1">
        <v>2.8</v>
      </c>
    </row>
    <row r="22" spans="1:2" ht="15.75" customHeight="1">
      <c r="A22">
        <v>20</v>
      </c>
      <c r="B22" s="1">
        <v>2.9</v>
      </c>
    </row>
    <row r="23" spans="1:2" ht="15.75" customHeight="1">
      <c r="A23">
        <v>21</v>
      </c>
      <c r="B23" s="1">
        <v>3</v>
      </c>
    </row>
    <row r="24" spans="1:2" ht="15.75" customHeight="1">
      <c r="A24">
        <v>22</v>
      </c>
      <c r="B24" s="1">
        <v>3.1</v>
      </c>
    </row>
    <row r="25" spans="1:2" ht="15.75" customHeight="1">
      <c r="A25">
        <v>23</v>
      </c>
      <c r="B25" s="1">
        <v>3.2</v>
      </c>
    </row>
    <row r="26" spans="1:2" ht="15.75" customHeight="1">
      <c r="A26">
        <v>24</v>
      </c>
      <c r="B26" s="1">
        <v>3.3</v>
      </c>
    </row>
    <row r="27" spans="1:2" ht="15.75" customHeight="1">
      <c r="A27">
        <v>25</v>
      </c>
      <c r="B27" s="1">
        <v>3.4</v>
      </c>
    </row>
    <row r="28" spans="1:2" ht="15.75" customHeight="1">
      <c r="A28">
        <v>26</v>
      </c>
      <c r="B28" s="1">
        <v>3.5</v>
      </c>
    </row>
    <row r="29" spans="1:2" ht="15.75" customHeight="1">
      <c r="A29">
        <v>27</v>
      </c>
      <c r="B29" s="1">
        <v>3.6</v>
      </c>
    </row>
    <row r="30" spans="1:2" ht="15.75" customHeight="1">
      <c r="A30">
        <v>28</v>
      </c>
      <c r="B30" s="1">
        <v>3.7</v>
      </c>
    </row>
    <row r="31" spans="1:2" ht="15.75" customHeight="1">
      <c r="A31">
        <v>29</v>
      </c>
      <c r="B31" s="1">
        <v>3.8</v>
      </c>
    </row>
    <row r="32" spans="1:2" ht="15.75" customHeight="1">
      <c r="A32">
        <v>30</v>
      </c>
      <c r="B32" s="1">
        <v>3.9</v>
      </c>
    </row>
    <row r="33" spans="1:2" ht="15.75" customHeight="1">
      <c r="A33">
        <v>31</v>
      </c>
      <c r="B33" s="1">
        <v>4</v>
      </c>
    </row>
    <row r="34" spans="1:2" ht="15.75" customHeight="1">
      <c r="A34">
        <v>32</v>
      </c>
      <c r="B34" s="1">
        <v>4.0999999999999996</v>
      </c>
    </row>
    <row r="35" spans="1:2" ht="15.75" customHeight="1">
      <c r="A35">
        <v>33</v>
      </c>
      <c r="B35" s="1">
        <v>4.3</v>
      </c>
    </row>
    <row r="36" spans="1:2" ht="15.75" customHeight="1">
      <c r="A36">
        <v>34</v>
      </c>
      <c r="B36" s="1">
        <v>4.4000000000000004</v>
      </c>
    </row>
    <row r="37" spans="1:2" ht="15.75" customHeight="1">
      <c r="A37">
        <v>35</v>
      </c>
      <c r="B37" s="1">
        <v>4.5</v>
      </c>
    </row>
    <row r="38" spans="1:2" ht="15.75" customHeight="1">
      <c r="A38">
        <v>36</v>
      </c>
      <c r="B38" s="1">
        <v>4.7</v>
      </c>
    </row>
    <row r="39" spans="1:2" ht="15.75" customHeight="1">
      <c r="A39">
        <v>37</v>
      </c>
      <c r="B39" s="1">
        <v>4.8</v>
      </c>
    </row>
    <row r="40" spans="1:2" ht="15.75" customHeight="1">
      <c r="A40">
        <v>38</v>
      </c>
      <c r="B40" s="1">
        <v>5</v>
      </c>
    </row>
    <row r="41" spans="1:2" ht="15.75" customHeight="1">
      <c r="A41">
        <v>39</v>
      </c>
      <c r="B41" s="1">
        <v>5.0999999999999996</v>
      </c>
    </row>
    <row r="42" spans="1:2" ht="15.75" customHeight="1">
      <c r="A42">
        <v>40</v>
      </c>
      <c r="B42" s="1">
        <v>5.3</v>
      </c>
    </row>
    <row r="43" spans="1:2" ht="15.75" customHeight="1">
      <c r="A43">
        <v>41</v>
      </c>
      <c r="B43" s="1">
        <v>5.4</v>
      </c>
    </row>
    <row r="44" spans="1:2" ht="15.75" customHeight="1">
      <c r="A44">
        <v>42</v>
      </c>
      <c r="B44" s="1">
        <v>5.6</v>
      </c>
    </row>
    <row r="45" spans="1:2" ht="15.75" customHeight="1">
      <c r="A45">
        <v>43</v>
      </c>
      <c r="B45" s="1">
        <v>5.7</v>
      </c>
    </row>
    <row r="46" spans="1:2" ht="15.75" customHeight="1">
      <c r="A46">
        <v>44</v>
      </c>
      <c r="B46" s="1">
        <v>5.8</v>
      </c>
    </row>
    <row r="47" spans="1:2" ht="15.75" customHeight="1">
      <c r="A47">
        <v>45</v>
      </c>
      <c r="B47" s="1">
        <v>6</v>
      </c>
    </row>
    <row r="48" spans="1:2" ht="15.75" customHeight="1">
      <c r="A48">
        <v>46</v>
      </c>
      <c r="B48" s="1">
        <v>6.1</v>
      </c>
    </row>
    <row r="49" spans="1:2" ht="15.75" customHeight="1">
      <c r="A49">
        <v>47</v>
      </c>
      <c r="B49" s="1">
        <v>6.3</v>
      </c>
    </row>
    <row r="50" spans="1:2" ht="15.75" customHeight="1">
      <c r="A50">
        <v>48</v>
      </c>
      <c r="B50" s="1">
        <v>6.4</v>
      </c>
    </row>
    <row r="51" spans="1:2" ht="15.75" customHeight="1">
      <c r="A51">
        <v>49</v>
      </c>
      <c r="B51" s="1">
        <v>6.6</v>
      </c>
    </row>
    <row r="52" spans="1:2" ht="15.75" customHeight="1">
      <c r="A52">
        <v>50</v>
      </c>
      <c r="B52" s="1">
        <v>6.7</v>
      </c>
    </row>
    <row r="53" spans="1:2" ht="15.75" customHeight="1">
      <c r="A53">
        <v>51</v>
      </c>
      <c r="B53" s="1">
        <v>6.9</v>
      </c>
    </row>
    <row r="54" spans="1:2" ht="15.75" customHeight="1">
      <c r="A54">
        <v>52</v>
      </c>
      <c r="B54" s="1">
        <v>7</v>
      </c>
    </row>
    <row r="55" spans="1:2" ht="15.75" customHeight="1"/>
    <row r="56" spans="1:2" ht="15.75" customHeight="1"/>
    <row r="57" spans="1:2" ht="15.75" customHeight="1"/>
    <row r="58" spans="1:2" ht="15.75" customHeight="1"/>
    <row r="59" spans="1:2" ht="15.75" customHeight="1"/>
    <row r="60" spans="1:2" ht="15.75" customHeight="1"/>
    <row r="61" spans="1:2" ht="15.75" customHeight="1"/>
    <row r="62" spans="1:2" ht="15.75" customHeight="1"/>
    <row r="63" spans="1:2" ht="15.75" customHeight="1"/>
    <row r="64" spans="1:2"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1000"/>
  <sheetViews>
    <sheetView topLeftCell="A35" workbookViewId="0">
      <selection activeCell="A153" sqref="A153:B162"/>
    </sheetView>
  </sheetViews>
  <sheetFormatPr baseColWidth="10" defaultColWidth="14.42578125" defaultRowHeight="15" customHeight="1"/>
  <cols>
    <col min="1" max="26" width="10.7109375" customWidth="1"/>
  </cols>
  <sheetData>
    <row r="1" spans="1:2">
      <c r="A1" t="s">
        <v>4</v>
      </c>
      <c r="B1" t="s">
        <v>13</v>
      </c>
    </row>
    <row r="2" spans="1:2">
      <c r="A2">
        <v>0</v>
      </c>
      <c r="B2">
        <v>1</v>
      </c>
    </row>
    <row r="3" spans="1:2">
      <c r="A3">
        <v>0.5</v>
      </c>
      <c r="B3">
        <v>1.1000000000000001</v>
      </c>
    </row>
    <row r="4" spans="1:2">
      <c r="A4">
        <v>1</v>
      </c>
      <c r="B4">
        <v>1.2</v>
      </c>
    </row>
    <row r="5" spans="1:2">
      <c r="A5">
        <v>1.5</v>
      </c>
      <c r="B5">
        <v>1.3</v>
      </c>
    </row>
    <row r="6" spans="1:2">
      <c r="A6">
        <v>2</v>
      </c>
      <c r="B6">
        <v>1.4</v>
      </c>
    </row>
    <row r="7" spans="1:2">
      <c r="A7">
        <v>2.5</v>
      </c>
      <c r="B7">
        <v>1.5</v>
      </c>
    </row>
    <row r="8" spans="1:2">
      <c r="A8">
        <v>3</v>
      </c>
      <c r="B8">
        <v>1.6</v>
      </c>
    </row>
    <row r="9" spans="1:2">
      <c r="A9">
        <v>3.5</v>
      </c>
      <c r="B9">
        <v>1.7</v>
      </c>
    </row>
    <row r="10" spans="1:2">
      <c r="A10">
        <v>4</v>
      </c>
      <c r="B10">
        <v>1.8</v>
      </c>
    </row>
    <row r="11" spans="1:2">
      <c r="A11">
        <v>4.5</v>
      </c>
      <c r="B11">
        <v>1.9</v>
      </c>
    </row>
    <row r="12" spans="1:2">
      <c r="A12">
        <v>5</v>
      </c>
      <c r="B12">
        <v>2</v>
      </c>
    </row>
    <row r="13" spans="1:2">
      <c r="A13">
        <v>5.5</v>
      </c>
      <c r="B13">
        <v>2.1</v>
      </c>
    </row>
    <row r="14" spans="1:2">
      <c r="A14">
        <v>6</v>
      </c>
      <c r="B14">
        <v>2.2000000000000002</v>
      </c>
    </row>
    <row r="15" spans="1:2">
      <c r="A15">
        <v>6.5</v>
      </c>
      <c r="B15">
        <v>2.2999999999999998</v>
      </c>
    </row>
    <row r="16" spans="1:2">
      <c r="A16">
        <v>7</v>
      </c>
      <c r="B16">
        <v>2.4</v>
      </c>
    </row>
    <row r="17" spans="1:2">
      <c r="A17">
        <v>7.5</v>
      </c>
      <c r="B17">
        <v>2.5</v>
      </c>
    </row>
    <row r="18" spans="1:2">
      <c r="A18">
        <v>8</v>
      </c>
      <c r="B18">
        <v>2.6</v>
      </c>
    </row>
    <row r="19" spans="1:2">
      <c r="A19">
        <v>8.5</v>
      </c>
      <c r="B19">
        <v>2.7</v>
      </c>
    </row>
    <row r="20" spans="1:2">
      <c r="A20">
        <v>9</v>
      </c>
      <c r="B20">
        <v>2.8</v>
      </c>
    </row>
    <row r="21" spans="1:2" ht="15.75" customHeight="1">
      <c r="A21">
        <v>9.5</v>
      </c>
      <c r="B21">
        <v>2.9</v>
      </c>
    </row>
    <row r="22" spans="1:2" ht="15.75" customHeight="1">
      <c r="A22">
        <v>10</v>
      </c>
      <c r="B22">
        <v>3</v>
      </c>
    </row>
    <row r="23" spans="1:2" ht="15.75" customHeight="1">
      <c r="A23">
        <v>10.5</v>
      </c>
      <c r="B23">
        <v>3.1</v>
      </c>
    </row>
    <row r="24" spans="1:2" ht="15.75" customHeight="1">
      <c r="A24">
        <v>11</v>
      </c>
      <c r="B24">
        <v>3.2</v>
      </c>
    </row>
    <row r="25" spans="1:2" ht="15.75" customHeight="1">
      <c r="A25">
        <v>11.5</v>
      </c>
      <c r="B25">
        <v>3.3</v>
      </c>
    </row>
    <row r="26" spans="1:2" ht="15.75" customHeight="1">
      <c r="A26">
        <v>12</v>
      </c>
      <c r="B26">
        <v>3.4</v>
      </c>
    </row>
    <row r="27" spans="1:2" ht="15.75" customHeight="1">
      <c r="A27">
        <v>12.5</v>
      </c>
      <c r="B27">
        <v>3.5</v>
      </c>
    </row>
    <row r="28" spans="1:2" ht="15.75" customHeight="1">
      <c r="A28">
        <v>13</v>
      </c>
      <c r="B28">
        <v>3.6</v>
      </c>
    </row>
    <row r="29" spans="1:2" ht="15.75" customHeight="1">
      <c r="A29">
        <v>13.5</v>
      </c>
      <c r="B29">
        <v>3.7</v>
      </c>
    </row>
    <row r="30" spans="1:2" ht="15.75" customHeight="1">
      <c r="A30">
        <v>14</v>
      </c>
      <c r="B30">
        <v>3.8</v>
      </c>
    </row>
    <row r="31" spans="1:2" ht="15.75" customHeight="1">
      <c r="A31">
        <v>14.5</v>
      </c>
      <c r="B31">
        <v>3.9</v>
      </c>
    </row>
    <row r="32" spans="1:2" ht="15.75" customHeight="1">
      <c r="A32">
        <v>15</v>
      </c>
      <c r="B32">
        <v>4</v>
      </c>
    </row>
    <row r="33" spans="1:2" ht="15.75" customHeight="1">
      <c r="A33">
        <v>15.5</v>
      </c>
      <c r="B33">
        <v>4.2</v>
      </c>
    </row>
    <row r="34" spans="1:2" ht="15.75" customHeight="1">
      <c r="A34">
        <v>16</v>
      </c>
      <c r="B34">
        <v>4.3</v>
      </c>
    </row>
    <row r="35" spans="1:2" ht="15.75" customHeight="1">
      <c r="A35">
        <v>16.5</v>
      </c>
      <c r="B35">
        <v>4.5</v>
      </c>
    </row>
    <row r="36" spans="1:2" ht="15.75" customHeight="1">
      <c r="A36">
        <v>17</v>
      </c>
      <c r="B36">
        <v>4.5999999999999996</v>
      </c>
    </row>
    <row r="37" spans="1:2" ht="15.75" customHeight="1">
      <c r="A37">
        <v>17.5</v>
      </c>
      <c r="B37">
        <v>4.8</v>
      </c>
    </row>
    <row r="38" spans="1:2" ht="15.75" customHeight="1">
      <c r="A38">
        <v>18</v>
      </c>
      <c r="B38">
        <v>4.9000000000000004</v>
      </c>
    </row>
    <row r="39" spans="1:2" ht="15.75" customHeight="1">
      <c r="A39">
        <v>18.5</v>
      </c>
      <c r="B39">
        <v>5.0999999999999996</v>
      </c>
    </row>
    <row r="40" spans="1:2" ht="15.75" customHeight="1">
      <c r="A40">
        <v>19</v>
      </c>
      <c r="B40">
        <v>5.2</v>
      </c>
    </row>
    <row r="41" spans="1:2" ht="15.75" customHeight="1">
      <c r="A41">
        <v>19.5</v>
      </c>
      <c r="B41">
        <v>5.4</v>
      </c>
    </row>
    <row r="42" spans="1:2" ht="15.75" customHeight="1">
      <c r="A42">
        <v>20</v>
      </c>
      <c r="B42">
        <v>5.5</v>
      </c>
    </row>
    <row r="43" spans="1:2" ht="15.75" customHeight="1">
      <c r="A43">
        <v>20.5</v>
      </c>
      <c r="B43">
        <v>5.7</v>
      </c>
    </row>
    <row r="44" spans="1:2" ht="15.75" customHeight="1">
      <c r="A44">
        <v>21</v>
      </c>
      <c r="B44">
        <v>5.8</v>
      </c>
    </row>
    <row r="45" spans="1:2" ht="15.75" customHeight="1">
      <c r="A45">
        <v>21.5</v>
      </c>
      <c r="B45">
        <v>6</v>
      </c>
    </row>
    <row r="46" spans="1:2" ht="15.75" customHeight="1">
      <c r="A46">
        <v>22</v>
      </c>
      <c r="B46">
        <v>6.1</v>
      </c>
    </row>
    <row r="47" spans="1:2" ht="15.75" customHeight="1">
      <c r="A47">
        <v>22.5</v>
      </c>
      <c r="B47">
        <v>6.3</v>
      </c>
    </row>
    <row r="48" spans="1:2" ht="15.75" customHeight="1">
      <c r="A48">
        <v>23</v>
      </c>
      <c r="B48">
        <v>6.4</v>
      </c>
    </row>
    <row r="49" spans="1:2" ht="15.75" customHeight="1">
      <c r="A49">
        <v>23.5</v>
      </c>
      <c r="B49">
        <v>6.6</v>
      </c>
    </row>
    <row r="50" spans="1:2" ht="15.75" customHeight="1">
      <c r="A50">
        <v>24</v>
      </c>
      <c r="B50">
        <v>6.7</v>
      </c>
    </row>
    <row r="51" spans="1:2" ht="15.75" customHeight="1">
      <c r="A51">
        <v>24.5</v>
      </c>
      <c r="B51">
        <v>6.9</v>
      </c>
    </row>
    <row r="52" spans="1:2" ht="15.75" customHeight="1">
      <c r="A52">
        <v>25</v>
      </c>
      <c r="B52">
        <v>7</v>
      </c>
    </row>
    <row r="53" spans="1:2" ht="15.75" customHeight="1">
      <c r="B53" s="1"/>
    </row>
    <row r="54" spans="1:2" ht="15.75" customHeight="1">
      <c r="B54" s="1"/>
    </row>
    <row r="55" spans="1:2" ht="15.75" customHeight="1"/>
    <row r="56" spans="1:2" ht="15.75" customHeight="1"/>
    <row r="57" spans="1:2" ht="15.75" customHeight="1"/>
    <row r="58" spans="1:2" ht="15.75" customHeight="1"/>
    <row r="59" spans="1:2" ht="15.75" customHeight="1"/>
    <row r="60" spans="1:2" ht="15.75" customHeight="1"/>
    <row r="61" spans="1:2" ht="15.75" customHeight="1"/>
    <row r="62" spans="1:2" ht="15.75" customHeight="1"/>
    <row r="63" spans="1:2" ht="15.75" customHeight="1"/>
    <row r="64" spans="1:2"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1000"/>
  <sheetViews>
    <sheetView workbookViewId="0">
      <selection activeCell="D12" sqref="D12"/>
    </sheetView>
  </sheetViews>
  <sheetFormatPr baseColWidth="10" defaultColWidth="14.42578125" defaultRowHeight="15" customHeight="1"/>
  <cols>
    <col min="1" max="25" width="10.7109375" customWidth="1"/>
  </cols>
  <sheetData>
    <row r="1" spans="1:5">
      <c r="A1" s="72" t="s">
        <v>3</v>
      </c>
      <c r="B1" s="7" t="s">
        <v>4</v>
      </c>
      <c r="C1" s="8"/>
      <c r="D1" s="8"/>
      <c r="E1" s="9"/>
    </row>
    <row r="2" spans="1:5" ht="45.75" thickBot="1">
      <c r="A2" s="73"/>
      <c r="B2" s="10" t="s">
        <v>5</v>
      </c>
      <c r="C2" s="11" t="s">
        <v>6</v>
      </c>
      <c r="D2" s="32" t="s">
        <v>28</v>
      </c>
      <c r="E2" s="12" t="s">
        <v>7</v>
      </c>
    </row>
    <row r="3" spans="1:5" ht="30.75" thickBot="1">
      <c r="A3" s="13" t="s">
        <v>8</v>
      </c>
      <c r="B3" s="14">
        <v>4</v>
      </c>
      <c r="C3" s="14">
        <v>3</v>
      </c>
      <c r="D3" s="14">
        <v>2</v>
      </c>
      <c r="E3" s="14">
        <v>0</v>
      </c>
    </row>
    <row r="4" spans="1:5" ht="15.75" thickBot="1">
      <c r="A4" s="13"/>
      <c r="B4" s="14"/>
      <c r="C4" s="14"/>
      <c r="D4" s="14"/>
      <c r="E4" s="14"/>
    </row>
    <row r="5" spans="1:5" ht="15.75" thickBot="1">
      <c r="A5" s="13"/>
      <c r="B5" s="14"/>
      <c r="C5" s="14"/>
      <c r="D5" s="14"/>
      <c r="E5" s="14"/>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A2"/>
  </mergeCell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Hojas de cálculo</vt:lpstr>
      </vt:variant>
      <vt:variant>
        <vt:i4>6</vt:i4>
      </vt:variant>
      <vt:variant>
        <vt:lpstr>Rangos con nombre</vt:lpstr>
      </vt:variant>
      <vt:variant>
        <vt:i4>19</vt:i4>
      </vt:variant>
    </vt:vector>
  </HeadingPairs>
  <TitlesOfParts>
    <vt:vector size="25" baseType="lpstr">
      <vt:lpstr>RUBRICA</vt:lpstr>
      <vt:lpstr>EVALUACION1</vt:lpstr>
      <vt:lpstr>ESCALA_IEP</vt:lpstr>
      <vt:lpstr>ESCALA_PRESENTACION</vt:lpstr>
      <vt:lpstr>ESCALA_TRAB_EQUIP</vt:lpstr>
      <vt:lpstr>RELEVANCIA-PUNTAJE</vt:lpstr>
      <vt:lpstr>CL</vt:lpstr>
      <vt:lpstr>L</vt:lpstr>
      <vt:lpstr>ML</vt:lpstr>
      <vt:lpstr>MR</vt:lpstr>
      <vt:lpstr>MR_CL</vt:lpstr>
      <vt:lpstr>MR_L</vt:lpstr>
      <vt:lpstr>MR_ML</vt:lpstr>
      <vt:lpstr>MR_NL</vt:lpstr>
      <vt:lpstr>MR_TL</vt:lpstr>
      <vt:lpstr>NL</vt:lpstr>
      <vt:lpstr>PR</vt:lpstr>
      <vt:lpstr>PR_ML</vt:lpstr>
      <vt:lpstr>PR_NL</vt:lpstr>
      <vt:lpstr>PR_TL</vt:lpstr>
      <vt:lpstr>RE</vt:lpstr>
      <vt:lpstr>RE_ML</vt:lpstr>
      <vt:lpstr>RE_NL</vt:lpstr>
      <vt:lpstr>RE_TL</vt:lpstr>
      <vt:lpstr>TL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Gerardo Galan Cruz</dc:creator>
  <cp:lastModifiedBy>CETECOM Concepción</cp:lastModifiedBy>
  <dcterms:created xsi:type="dcterms:W3CDTF">2023-08-07T04:08:01Z</dcterms:created>
  <dcterms:modified xsi:type="dcterms:W3CDTF">2025-07-04T17:30:26Z</dcterms:modified>
</cp:coreProperties>
</file>